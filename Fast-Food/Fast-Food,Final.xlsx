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4B\EXCELCNV\126c7d61-d253-467d-a8dc-bca75e1eb9f0\"/>
    </mc:Choice>
  </mc:AlternateContent>
  <xr:revisionPtr revIDLastSave="0" documentId="8_{3F6248ED-FB97-427B-A138-A6646535C0C3}" xr6:coauthVersionLast="47" xr6:coauthVersionMax="47" xr10:uidLastSave="{00000000-0000-0000-0000-000000000000}"/>
  <bookViews>
    <workbookView xWindow="-60" yWindow="-60" windowWidth="15480" windowHeight="11640" firstSheet="4" activeTab="4" xr2:uid="{50E5930A-1355-4DF0-839F-125B2B9AA5A3}"/>
  </bookViews>
  <sheets>
    <sheet name="Documentação-Documentation" sheetId="3" r:id="rId1"/>
    <sheet name="Top 50 Fast-Food EUA" sheetId="1" r:id="rId2"/>
    <sheet name="Tabela Dinãmica-Pivot table" sheetId="2" r:id="rId3"/>
    <sheet name=" Análise-Analysis " sheetId="5" r:id="rId4"/>
    <sheet name="Gráficos-Graphics " sheetId="4" r:id="rId5"/>
  </sheets>
  <calcPr calcId="191028"/>
  <pivotCaches>
    <pivotCache cacheId="124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V6" i="3"/>
  <c r="V5" i="3"/>
  <c r="I6" i="2"/>
  <c r="I5" i="2"/>
  <c r="R6" i="5"/>
  <c r="R5" i="5"/>
  <c r="L5" i="4"/>
  <c r="L6" i="4"/>
  <c r="V4" i="3"/>
  <c r="V3" i="3"/>
  <c r="V2" i="3"/>
  <c r="L4" i="4"/>
  <c r="L3" i="4"/>
  <c r="L2" i="4"/>
  <c r="R4" i="5"/>
  <c r="R3" i="5"/>
  <c r="R2" i="5"/>
  <c r="I4" i="1"/>
  <c r="I3" i="1"/>
  <c r="I2" i="1"/>
  <c r="I4" i="2"/>
  <c r="I3" i="2"/>
  <c r="I2" i="2"/>
  <c r="G7" i="5"/>
  <c r="F7" i="5" s="1"/>
  <c r="G8" i="5"/>
  <c r="F8" i="5" s="1"/>
  <c r="G9" i="5"/>
  <c r="F9" i="5" s="1"/>
  <c r="G10" i="5"/>
  <c r="F10" i="5" s="1"/>
  <c r="G11" i="5"/>
  <c r="F11" i="5" s="1"/>
  <c r="G12" i="5"/>
  <c r="F12" i="5" s="1"/>
  <c r="G13" i="5"/>
  <c r="F13" i="5" s="1"/>
  <c r="G14" i="5"/>
  <c r="F14" i="5" s="1"/>
  <c r="G15" i="5"/>
  <c r="F15" i="5" s="1"/>
  <c r="G16" i="5"/>
  <c r="F16" i="5" s="1"/>
  <c r="G17" i="5"/>
  <c r="F17" i="5" s="1"/>
  <c r="G18" i="5"/>
  <c r="F18" i="5" s="1"/>
  <c r="G19" i="5"/>
  <c r="F19" i="5" s="1"/>
  <c r="G20" i="5"/>
  <c r="F20" i="5" s="1"/>
  <c r="G21" i="5"/>
  <c r="F21" i="5" s="1"/>
  <c r="G22" i="5"/>
  <c r="F22" i="5" s="1"/>
  <c r="G23" i="5"/>
  <c r="F23" i="5" s="1"/>
  <c r="G24" i="5"/>
  <c r="F24" i="5" s="1"/>
  <c r="G25" i="5"/>
  <c r="F25" i="5" s="1"/>
  <c r="G26" i="5"/>
  <c r="F26" i="5" s="1"/>
  <c r="G27" i="5"/>
  <c r="F27" i="5" s="1"/>
  <c r="G28" i="5"/>
  <c r="F28" i="5" s="1"/>
  <c r="G29" i="5"/>
  <c r="F29" i="5" s="1"/>
  <c r="G30" i="5"/>
  <c r="F30" i="5" s="1"/>
  <c r="G31" i="5"/>
  <c r="F31" i="5" s="1"/>
  <c r="G32" i="5"/>
  <c r="F32" i="5" s="1"/>
  <c r="G33" i="5"/>
  <c r="F33" i="5" s="1"/>
  <c r="G34" i="5"/>
  <c r="F34" i="5" s="1"/>
  <c r="G35" i="5"/>
  <c r="F35" i="5" s="1"/>
  <c r="G36" i="5"/>
  <c r="F36" i="5" s="1"/>
  <c r="G37" i="5"/>
  <c r="F37" i="5" s="1"/>
  <c r="G38" i="5"/>
  <c r="F38" i="5" s="1"/>
  <c r="G39" i="5"/>
  <c r="F39" i="5" s="1"/>
  <c r="G40" i="5"/>
  <c r="F40" i="5" s="1"/>
  <c r="G41" i="5"/>
  <c r="F41" i="5" s="1"/>
  <c r="G42" i="5"/>
  <c r="F42" i="5" s="1"/>
  <c r="G43" i="5"/>
  <c r="F43" i="5" s="1"/>
  <c r="G44" i="5"/>
  <c r="F44" i="5" s="1"/>
  <c r="G45" i="5"/>
  <c r="F45" i="5" s="1"/>
  <c r="G46" i="5"/>
  <c r="F46" i="5" s="1"/>
  <c r="G47" i="5"/>
  <c r="F47" i="5" s="1"/>
  <c r="G48" i="5"/>
  <c r="F48" i="5" s="1"/>
  <c r="G49" i="5"/>
  <c r="F49" i="5" s="1"/>
  <c r="G50" i="5"/>
  <c r="F50" i="5" s="1"/>
  <c r="G51" i="5"/>
  <c r="F51" i="5" s="1"/>
  <c r="G52" i="5"/>
  <c r="F52" i="5" s="1"/>
  <c r="G6" i="5"/>
  <c r="F6" i="5"/>
  <c r="G4" i="5"/>
  <c r="F4" i="5" s="1"/>
  <c r="G5" i="5"/>
  <c r="F5" i="5" s="1"/>
  <c r="O4" i="5"/>
  <c r="O3" i="5"/>
  <c r="K8" i="5"/>
  <c r="J8" i="5" s="1"/>
  <c r="K9" i="5"/>
  <c r="J9" i="5" s="1"/>
  <c r="K10" i="5"/>
  <c r="J10" i="5" s="1"/>
  <c r="K11" i="5"/>
  <c r="J11" i="5" s="1"/>
  <c r="K12" i="5"/>
  <c r="J12" i="5" s="1"/>
  <c r="K13" i="5"/>
  <c r="J13" i="5" s="1"/>
  <c r="K14" i="5"/>
  <c r="J14" i="5" s="1"/>
  <c r="K15" i="5"/>
  <c r="J15" i="5" s="1"/>
  <c r="K16" i="5"/>
  <c r="J16" i="5" s="1"/>
  <c r="K17" i="5"/>
  <c r="J17" i="5" s="1"/>
  <c r="K18" i="5"/>
  <c r="J18" i="5" s="1"/>
  <c r="K19" i="5"/>
  <c r="J19" i="5" s="1"/>
  <c r="K20" i="5"/>
  <c r="J20" i="5" s="1"/>
  <c r="K21" i="5"/>
  <c r="J21" i="5" s="1"/>
  <c r="K22" i="5"/>
  <c r="J22" i="5" s="1"/>
  <c r="K23" i="5"/>
  <c r="J23" i="5" s="1"/>
  <c r="K24" i="5"/>
  <c r="J24" i="5" s="1"/>
  <c r="K25" i="5"/>
  <c r="J25" i="5" s="1"/>
  <c r="K26" i="5"/>
  <c r="J26" i="5" s="1"/>
  <c r="K27" i="5"/>
  <c r="J27" i="5" s="1"/>
  <c r="K28" i="5"/>
  <c r="J28" i="5" s="1"/>
  <c r="K29" i="5"/>
  <c r="J29" i="5" s="1"/>
  <c r="K30" i="5"/>
  <c r="J30" i="5" s="1"/>
  <c r="K31" i="5"/>
  <c r="J31" i="5" s="1"/>
  <c r="K32" i="5"/>
  <c r="J32" i="5" s="1"/>
  <c r="K33" i="5"/>
  <c r="J33" i="5" s="1"/>
  <c r="K34" i="5"/>
  <c r="J34" i="5" s="1"/>
  <c r="K35" i="5"/>
  <c r="J35" i="5" s="1"/>
  <c r="K36" i="5"/>
  <c r="J36" i="5" s="1"/>
  <c r="K37" i="5"/>
  <c r="J37" i="5" s="1"/>
  <c r="K38" i="5"/>
  <c r="J38" i="5" s="1"/>
  <c r="K39" i="5"/>
  <c r="J39" i="5" s="1"/>
  <c r="K40" i="5"/>
  <c r="J40" i="5" s="1"/>
  <c r="K41" i="5"/>
  <c r="J41" i="5" s="1"/>
  <c r="K42" i="5"/>
  <c r="J42" i="5" s="1"/>
  <c r="K43" i="5"/>
  <c r="J43" i="5" s="1"/>
  <c r="K44" i="5"/>
  <c r="J44" i="5" s="1"/>
  <c r="K45" i="5"/>
  <c r="J45" i="5" s="1"/>
  <c r="K46" i="5"/>
  <c r="J46" i="5" s="1"/>
  <c r="K47" i="5"/>
  <c r="J47" i="5" s="1"/>
  <c r="K48" i="5"/>
  <c r="J48" i="5" s="1"/>
  <c r="K49" i="5"/>
  <c r="J49" i="5" s="1"/>
  <c r="K50" i="5"/>
  <c r="J50" i="5" s="1"/>
  <c r="K51" i="5"/>
  <c r="J51" i="5" s="1"/>
  <c r="K52" i="5"/>
  <c r="J52" i="5" s="1"/>
  <c r="K7" i="5"/>
  <c r="J7" i="5" s="1"/>
  <c r="K6" i="5"/>
  <c r="J6" i="5" s="1"/>
  <c r="K5" i="5"/>
  <c r="K4" i="5"/>
  <c r="J4" i="5" s="1"/>
  <c r="K3" i="5"/>
  <c r="J3" i="5" s="1"/>
  <c r="C4" i="5"/>
  <c r="G3" i="5"/>
  <c r="F3" i="5" s="1"/>
  <c r="C13" i="5"/>
  <c r="B13" i="5" s="1"/>
  <c r="C14" i="5"/>
  <c r="B14" i="5" s="1"/>
  <c r="C15" i="5"/>
  <c r="B15" i="5" s="1"/>
  <c r="C16" i="5"/>
  <c r="B16" i="5" s="1"/>
  <c r="C17" i="5"/>
  <c r="B17" i="5" s="1"/>
  <c r="C18" i="5"/>
  <c r="B18" i="5" s="1"/>
  <c r="C19" i="5"/>
  <c r="B19" i="5" s="1"/>
  <c r="C20" i="5"/>
  <c r="B20" i="5" s="1"/>
  <c r="C21" i="5"/>
  <c r="B21" i="5" s="1"/>
  <c r="C22" i="5"/>
  <c r="B22" i="5" s="1"/>
  <c r="C23" i="5"/>
  <c r="B23" i="5" s="1"/>
  <c r="C24" i="5"/>
  <c r="B24" i="5" s="1"/>
  <c r="C25" i="5"/>
  <c r="B25" i="5" s="1"/>
  <c r="C26" i="5"/>
  <c r="B26" i="5" s="1"/>
  <c r="C27" i="5"/>
  <c r="B27" i="5" s="1"/>
  <c r="C28" i="5"/>
  <c r="B28" i="5" s="1"/>
  <c r="C29" i="5"/>
  <c r="B29" i="5" s="1"/>
  <c r="C30" i="5"/>
  <c r="B30" i="5" s="1"/>
  <c r="C31" i="5"/>
  <c r="B31" i="5" s="1"/>
  <c r="C32" i="5"/>
  <c r="B32" i="5" s="1"/>
  <c r="C33" i="5"/>
  <c r="B33" i="5" s="1"/>
  <c r="C34" i="5"/>
  <c r="B34" i="5" s="1"/>
  <c r="C35" i="5"/>
  <c r="B35" i="5" s="1"/>
  <c r="C36" i="5"/>
  <c r="B36" i="5" s="1"/>
  <c r="C37" i="5"/>
  <c r="B37" i="5" s="1"/>
  <c r="C38" i="5"/>
  <c r="B38" i="5" s="1"/>
  <c r="C39" i="5"/>
  <c r="B39" i="5" s="1"/>
  <c r="C40" i="5"/>
  <c r="B40" i="5" s="1"/>
  <c r="C41" i="5"/>
  <c r="B41" i="5" s="1"/>
  <c r="C42" i="5"/>
  <c r="B42" i="5" s="1"/>
  <c r="C43" i="5"/>
  <c r="B43" i="5" s="1"/>
  <c r="C44" i="5"/>
  <c r="B44" i="5" s="1"/>
  <c r="C45" i="5"/>
  <c r="B45" i="5" s="1"/>
  <c r="C46" i="5"/>
  <c r="B46" i="5" s="1"/>
  <c r="C47" i="5"/>
  <c r="B47" i="5" s="1"/>
  <c r="C48" i="5"/>
  <c r="B48" i="5" s="1"/>
  <c r="C49" i="5"/>
  <c r="B49" i="5" s="1"/>
  <c r="C50" i="5"/>
  <c r="B50" i="5" s="1"/>
  <c r="C51" i="5"/>
  <c r="B51" i="5" s="1"/>
  <c r="C52" i="5"/>
  <c r="B52" i="5" s="1"/>
  <c r="B4" i="5"/>
  <c r="C5" i="5"/>
  <c r="B5" i="5" s="1"/>
  <c r="C6" i="5"/>
  <c r="B6" i="5" s="1"/>
  <c r="C7" i="5"/>
  <c r="B7" i="5" s="1"/>
  <c r="C8" i="5"/>
  <c r="B8" i="5" s="1"/>
  <c r="C9" i="5"/>
  <c r="B9" i="5" s="1"/>
  <c r="C10" i="5"/>
  <c r="B10" i="5" s="1"/>
  <c r="C11" i="5"/>
  <c r="B11" i="5" s="1"/>
  <c r="C12" i="5"/>
  <c r="B12" i="5" s="1"/>
  <c r="C3" i="5"/>
  <c r="B3" i="5" s="1"/>
</calcChain>
</file>

<file path=xl/sharedStrings.xml><?xml version="1.0" encoding="utf-8"?>
<sst xmlns="http://schemas.openxmlformats.org/spreadsheetml/2006/main" count="139" uniqueCount="78">
  <si>
    <t>Sumário - summary</t>
  </si>
  <si>
    <t>Fast-Food Chains</t>
  </si>
  <si>
    <t>U.S. Systemwide Sales (Millions - U.S Dollars) Mi USD</t>
  </si>
  <si>
    <t>Average Sales per Unit (Thousands - U.S Dollars) k USD</t>
  </si>
  <si>
    <t>Franchised Stores</t>
  </si>
  <si>
    <t>Company Stores</t>
  </si>
  <si>
    <t>2021 Total Units</t>
  </si>
  <si>
    <t>Total Change in Units from 2020</t>
  </si>
  <si>
    <t>Arbyâ€™s</t>
  </si>
  <si>
    <t>Baskin-Robbins</t>
  </si>
  <si>
    <t>Bojangles</t>
  </si>
  <si>
    <t>Burger King</t>
  </si>
  <si>
    <t>Carlâ€™s Jr.</t>
  </si>
  <si>
    <t>Checkers/Rallyâ€™s</t>
  </si>
  <si>
    <t>Chick-fil-A</t>
  </si>
  <si>
    <t>Chipotle</t>
  </si>
  <si>
    <t>Churchâ€™s Chicken</t>
  </si>
  <si>
    <t>Culverâ€™s</t>
  </si>
  <si>
    <t>Dairy Queen</t>
  </si>
  <si>
    <t>Del Taco</t>
  </si>
  <si>
    <t>Domino's</t>
  </si>
  <si>
    <t>Dunkin'</t>
  </si>
  <si>
    <t>El Pollo Loco</t>
  </si>
  <si>
    <t>Firehouse Subs</t>
  </si>
  <si>
    <t>Five Guys</t>
  </si>
  <si>
    <t>Freddyâ€™s Frozen Custard &amp; Steakburgers</t>
  </si>
  <si>
    <t>Hardeeâ€™s</t>
  </si>
  <si>
    <t>In-N-Out Burger</t>
  </si>
  <si>
    <t>Jack in the Box</t>
  </si>
  <si>
    <t>Jersey Mikeâ€™s</t>
  </si>
  <si>
    <t>Jimmy Johnâ€™s</t>
  </si>
  <si>
    <t>KFC</t>
  </si>
  <si>
    <t>Krispy Kreme</t>
  </si>
  <si>
    <t>Little Caesars</t>
  </si>
  <si>
    <t>Marcoâ€™s Pizza</t>
  </si>
  <si>
    <t>McAlisterâ€™s Deli</t>
  </si>
  <si>
    <t>McDonaldâ€™s</t>
  </si>
  <si>
    <t>Moeâ€™s Southwest Grill</t>
  </si>
  <si>
    <t>Panda Express</t>
  </si>
  <si>
    <t>Panera Bread</t>
  </si>
  <si>
    <t>Papa Johns</t>
  </si>
  <si>
    <t>Papa Murphyâ€™s</t>
  </si>
  <si>
    <t>Pizza Hut</t>
  </si>
  <si>
    <t>Popeyes Louisiana Kitchen</t>
  </si>
  <si>
    <t>QDOBA</t>
  </si>
  <si>
    <t>Raising Caneâ€™s</t>
  </si>
  <si>
    <t>Shake Shack</t>
  </si>
  <si>
    <t>Sonic Drive-In</t>
  </si>
  <si>
    <t>Starbucks</t>
  </si>
  <si>
    <t>Subway</t>
  </si>
  <si>
    <t>Taco Bell</t>
  </si>
  <si>
    <t>Tim Hortons</t>
  </si>
  <si>
    <t>Tropical Smoothie Cafe</t>
  </si>
  <si>
    <t>Wendy's</t>
  </si>
  <si>
    <t>Whataburger</t>
  </si>
  <si>
    <t>White Castle</t>
  </si>
  <si>
    <t>Wingstop</t>
  </si>
  <si>
    <t>Zaxbyâ€™s</t>
  </si>
  <si>
    <t xml:space="preserve">Rede – Chain </t>
  </si>
  <si>
    <t xml:space="preserve">Vendas Totais (Mi USD) – Total Sales (M USD) </t>
  </si>
  <si>
    <t xml:space="preserve">Venda Média por Unidade (k USD) – Avg Sales per Unit (k USD) </t>
  </si>
  <si>
    <t xml:space="preserve">  Lojas Franqueadas – Franchised Units </t>
  </si>
  <si>
    <t xml:space="preserve"> Lojas Próprias – Company-Owned Units </t>
  </si>
  <si>
    <t xml:space="preserve">Total de Lojas (2021) – Total Units (2021) </t>
  </si>
  <si>
    <t>Variação de Lojas (vs 2020) – Unit Change (vs 2020)</t>
  </si>
  <si>
    <t>Total Geral</t>
  </si>
  <si>
    <t>Ranking por vendas - Ranking by sale</t>
  </si>
  <si>
    <t>Ranking por Receita Média por Unidade - Ranking by Average Sales per Unit  (k USD)</t>
  </si>
  <si>
    <t>Ranking por Crescimento/queda - Ranking by Growth/Stay (2020)</t>
  </si>
  <si>
    <t>Lojas Próprias X Franquiadas - Company-owned X franchised stores</t>
  </si>
  <si>
    <t>Posição - Position</t>
  </si>
  <si>
    <t>Rede - Chain</t>
  </si>
  <si>
    <t>Vendas Totais - Total Sales (Mi USD)</t>
  </si>
  <si>
    <t xml:space="preserve"> Média por Unidade - Average per Unit</t>
  </si>
  <si>
    <t xml:space="preserve"> Crescimento/queda - Growth/Stay		</t>
  </si>
  <si>
    <t>Tipo - Type</t>
  </si>
  <si>
    <t>Total de Lojas - Total number of stores</t>
  </si>
  <si>
    <t>Company-owned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</si>
</sst>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[$$-409]* #,##0.00_ ;_-[$$-409]* \-#,##0.00\ ;_-[$$-409]* &quot;-&quot;??_ ;_-@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242424"/>
      <name val="Aptos Narrow"/>
      <charset val="1"/>
    </font>
    <font>
      <u/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6" fillId="33" borderId="10" xfId="0" applyNumberFormat="1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49" fontId="0" fillId="33" borderId="10" xfId="0" applyNumberFormat="1" applyFill="1" applyBorder="1"/>
    <xf numFmtId="0" fontId="16" fillId="34" borderId="0" xfId="0" applyFont="1" applyFill="1" applyAlignment="1">
      <alignment horizontal="center"/>
    </xf>
    <xf numFmtId="0" fontId="0" fillId="34" borderId="0" xfId="0" applyFill="1"/>
    <xf numFmtId="0" fontId="18" fillId="0" borderId="0" xfId="42"/>
    <xf numFmtId="165" fontId="0" fillId="34" borderId="0" xfId="0" applyNumberFormat="1" applyFill="1"/>
    <xf numFmtId="1" fontId="0" fillId="0" borderId="10" xfId="0" applyNumberFormat="1" applyFont="1" applyBorder="1"/>
    <xf numFmtId="165" fontId="0" fillId="0" borderId="10" xfId="0" applyNumberFormat="1" applyBorder="1"/>
    <xf numFmtId="1" fontId="0" fillId="0" borderId="10" xfId="0" applyNumberFormat="1" applyBorder="1"/>
    <xf numFmtId="0" fontId="0" fillId="35" borderId="10" xfId="0" applyFill="1" applyBorder="1"/>
    <xf numFmtId="0" fontId="0" fillId="0" borderId="0" xfId="0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0" xfId="0" applyFill="1" applyBorder="1" applyAlignment="1">
      <alignment horizontal="center" wrapText="1"/>
    </xf>
    <xf numFmtId="0" fontId="0" fillId="37" borderId="10" xfId="0" applyFill="1" applyBorder="1" applyAlignment="1">
      <alignment horizontal="center"/>
    </xf>
    <xf numFmtId="0" fontId="0" fillId="37" borderId="10" xfId="0" applyFill="1" applyBorder="1" applyAlignment="1">
      <alignment horizontal="center" wrapText="1"/>
    </xf>
    <xf numFmtId="0" fontId="0" fillId="38" borderId="10" xfId="0" applyFill="1" applyBorder="1" applyAlignment="1">
      <alignment horizontal="center"/>
    </xf>
    <xf numFmtId="0" fontId="0" fillId="38" borderId="10" xfId="0" applyFill="1" applyBorder="1" applyAlignment="1">
      <alignment horizontal="center" wrapText="1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wrapText="1"/>
    </xf>
    <xf numFmtId="0" fontId="0" fillId="39" borderId="11" xfId="0" applyFill="1" applyBorder="1" applyAlignment="1">
      <alignment horizontal="center"/>
    </xf>
    <xf numFmtId="0" fontId="0" fillId="34" borderId="0" xfId="0" applyFill="1" applyBorder="1" applyAlignment="1">
      <alignment horizontal="center"/>
    </xf>
    <xf numFmtId="0" fontId="0" fillId="34" borderId="0" xfId="0" applyFill="1" applyBorder="1" applyAlignment="1">
      <alignment horizontal="center" wrapText="1"/>
    </xf>
    <xf numFmtId="165" fontId="0" fillId="34" borderId="0" xfId="0" quotePrefix="1" applyNumberFormat="1" applyFill="1" applyBorder="1" applyAlignment="1">
      <alignment horizontal="center" wrapText="1"/>
    </xf>
    <xf numFmtId="0" fontId="0" fillId="33" borderId="12" xfId="0" applyFill="1" applyBorder="1" applyAlignment="1">
      <alignment horizontal="center"/>
    </xf>
    <xf numFmtId="0" fontId="0" fillId="33" borderId="12" xfId="0" applyFill="1" applyBorder="1" applyAlignment="1">
      <alignment horizontal="center" wrapText="1"/>
    </xf>
    <xf numFmtId="0" fontId="0" fillId="40" borderId="0" xfId="0" applyFill="1"/>
    <xf numFmtId="0" fontId="0" fillId="40" borderId="11" xfId="0" applyFill="1" applyBorder="1" applyAlignment="1">
      <alignment horizontal="center"/>
    </xf>
    <xf numFmtId="165" fontId="0" fillId="40" borderId="10" xfId="0" quotePrefix="1" applyNumberFormat="1" applyFill="1" applyBorder="1" applyAlignment="1">
      <alignment horizontal="center" wrapText="1"/>
    </xf>
    <xf numFmtId="165" fontId="0" fillId="40" borderId="12" xfId="0" quotePrefix="1" applyNumberFormat="1" applyFill="1" applyBorder="1" applyAlignment="1">
      <alignment horizontal="center" wrapText="1"/>
    </xf>
    <xf numFmtId="0" fontId="0" fillId="39" borderId="11" xfId="0" applyFill="1" applyBorder="1" applyAlignment="1">
      <alignment horizontal="center" wrapText="1"/>
    </xf>
    <xf numFmtId="0" fontId="0" fillId="40" borderId="10" xfId="0" applyFill="1" applyBorder="1" applyAlignment="1">
      <alignment horizontal="center"/>
    </xf>
    <xf numFmtId="1" fontId="16" fillId="33" borderId="10" xfId="0" applyNumberFormat="1" applyFont="1" applyFill="1" applyBorder="1" applyAlignment="1">
      <alignment horizontal="center"/>
    </xf>
    <xf numFmtId="1" fontId="0" fillId="0" borderId="0" xfId="0" applyNumberFormat="1"/>
    <xf numFmtId="0" fontId="19" fillId="40" borderId="0" xfId="0" applyFont="1" applyFill="1"/>
    <xf numFmtId="0" fontId="19" fillId="40" borderId="0" xfId="0" applyFont="1" applyFill="1" applyAlignment="1">
      <alignment horizontal="center"/>
    </xf>
    <xf numFmtId="0" fontId="0" fillId="40" borderId="12" xfId="0" applyFill="1" applyBorder="1" applyAlignment="1">
      <alignment horizontal="center"/>
    </xf>
    <xf numFmtId="0" fontId="0" fillId="40" borderId="12" xfId="0" applyFill="1" applyBorder="1" applyAlignment="1">
      <alignment horizontal="center" wrapText="1"/>
    </xf>
    <xf numFmtId="0" fontId="0" fillId="40" borderId="0" xfId="0" applyFill="1" applyBorder="1" applyAlignment="1">
      <alignment horizontal="center"/>
    </xf>
    <xf numFmtId="0" fontId="0" fillId="40" borderId="0" xfId="0" applyFill="1" applyBorder="1" applyAlignment="1">
      <alignment horizontal="center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35" borderId="16" xfId="0" applyFill="1" applyBorder="1"/>
    <xf numFmtId="165" fontId="0" fillId="0" borderId="11" xfId="0" applyNumberFormat="1" applyBorder="1"/>
    <xf numFmtId="1" fontId="0" fillId="0" borderId="11" xfId="0" applyNumberFormat="1" applyBorder="1"/>
    <xf numFmtId="0" fontId="20" fillId="42" borderId="17" xfId="0" applyFont="1" applyFill="1" applyBorder="1" applyAlignment="1">
      <alignment horizontal="center" wrapText="1"/>
    </xf>
    <xf numFmtId="0" fontId="21" fillId="41" borderId="17" xfId="42" applyFont="1" applyFill="1" applyBorder="1" applyAlignment="1">
      <alignment horizontal="center"/>
    </xf>
    <xf numFmtId="0" fontId="18" fillId="41" borderId="17" xfId="42" applyFill="1" applyBorder="1" applyAlignment="1">
      <alignment horizontal="center"/>
    </xf>
    <xf numFmtId="0" fontId="0" fillId="40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0" fillId="39" borderId="15" xfId="0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yperlink" xfId="42" xr:uid="{00000000-000B-0000-0000-000008000000}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Maiores Vendas - Top 10 Biggest Sellers (Mi 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 Análise-Analysis '!$B$3:$B$12</c:f>
              <c:strCache>
                <c:ptCount val="10"/>
                <c:pt idx="0">
                  <c:v>McDonaldâ€™s</c:v>
                </c:pt>
                <c:pt idx="1">
                  <c:v>Starbucks</c:v>
                </c:pt>
                <c:pt idx="2">
                  <c:v>Chick-fil-A</c:v>
                </c:pt>
                <c:pt idx="3">
                  <c:v>Taco Bell</c:v>
                </c:pt>
                <c:pt idx="4">
                  <c:v>Wendy's</c:v>
                </c:pt>
                <c:pt idx="5">
                  <c:v>Dunkin'</c:v>
                </c:pt>
                <c:pt idx="6">
                  <c:v>Burger King</c:v>
                </c:pt>
                <c:pt idx="7">
                  <c:v>Subway</c:v>
                </c:pt>
                <c:pt idx="8">
                  <c:v>Domino's</c:v>
                </c:pt>
                <c:pt idx="9">
                  <c:v>Chipotle</c:v>
                </c:pt>
              </c:strCache>
            </c:strRef>
          </c:cat>
          <c:val>
            <c:numRef>
              <c:f>' Análise-Analysis '!$C$3:$C$12</c:f>
              <c:numCache>
                <c:formatCode>General</c:formatCode>
                <c:ptCount val="10"/>
                <c:pt idx="0">
                  <c:v>45960</c:v>
                </c:pt>
                <c:pt idx="1">
                  <c:v>24300</c:v>
                </c:pt>
                <c:pt idx="2">
                  <c:v>16700</c:v>
                </c:pt>
                <c:pt idx="3">
                  <c:v>12600</c:v>
                </c:pt>
                <c:pt idx="4">
                  <c:v>11111</c:v>
                </c:pt>
                <c:pt idx="5">
                  <c:v>10416</c:v>
                </c:pt>
                <c:pt idx="6">
                  <c:v>10033</c:v>
                </c:pt>
                <c:pt idx="7">
                  <c:v>9350</c:v>
                </c:pt>
                <c:pt idx="8">
                  <c:v>8641</c:v>
                </c:pt>
                <c:pt idx="9">
                  <c:v>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EF-49B3-9917-593BD690C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122632"/>
        <c:axId val="1260124680"/>
      </c:barChart>
      <c:catAx>
        <c:axId val="126012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24680"/>
        <c:crosses val="autoZero"/>
        <c:auto val="1"/>
        <c:lblAlgn val="ctr"/>
        <c:lblOffset val="100"/>
        <c:noMultiLvlLbl val="0"/>
      </c:catAx>
      <c:valAx>
        <c:axId val="126012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2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Receita Média por Unidade - Top 10 Average Sales per Unit  (k 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 Análise-Analysis '!$F$3:$F$12</c:f>
              <c:strCache>
                <c:ptCount val="10"/>
                <c:pt idx="0">
                  <c:v>Chick-fil-A</c:v>
                </c:pt>
                <c:pt idx="1">
                  <c:v>Raising Caneâ€™s</c:v>
                </c:pt>
                <c:pt idx="2">
                  <c:v>Krispy Kreme</c:v>
                </c:pt>
                <c:pt idx="3">
                  <c:v>Shake Shack</c:v>
                </c:pt>
                <c:pt idx="4">
                  <c:v>Whataburger</c:v>
                </c:pt>
                <c:pt idx="5">
                  <c:v>McDonaldâ€™s</c:v>
                </c:pt>
                <c:pt idx="6">
                  <c:v>In-N-Out Burger</c:v>
                </c:pt>
                <c:pt idx="7">
                  <c:v>Five Guys</c:v>
                </c:pt>
                <c:pt idx="8">
                  <c:v>Culverâ€™s</c:v>
                </c:pt>
                <c:pt idx="9">
                  <c:v>Panera Bread</c:v>
                </c:pt>
              </c:strCache>
            </c:strRef>
          </c:cat>
          <c:val>
            <c:numRef>
              <c:f>' Análise-Analysis '!$G$3:$G$12</c:f>
              <c:numCache>
                <c:formatCode>General</c:formatCode>
                <c:ptCount val="10"/>
                <c:pt idx="0">
                  <c:v>6100</c:v>
                </c:pt>
                <c:pt idx="1">
                  <c:v>4893</c:v>
                </c:pt>
                <c:pt idx="2">
                  <c:v>4000</c:v>
                </c:pt>
                <c:pt idx="3">
                  <c:v>3679</c:v>
                </c:pt>
                <c:pt idx="4">
                  <c:v>3640</c:v>
                </c:pt>
                <c:pt idx="5">
                  <c:v>3420</c:v>
                </c:pt>
                <c:pt idx="6">
                  <c:v>3200</c:v>
                </c:pt>
                <c:pt idx="7">
                  <c:v>3172</c:v>
                </c:pt>
                <c:pt idx="8">
                  <c:v>3099</c:v>
                </c:pt>
                <c:pt idx="9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4-4A08-B63E-0B796FB82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245256"/>
        <c:axId val="1168247816"/>
      </c:barChart>
      <c:catAx>
        <c:axId val="116824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7816"/>
        <c:crosses val="autoZero"/>
        <c:auto val="1"/>
        <c:lblAlgn val="ctr"/>
        <c:lblOffset val="100"/>
        <c:noMultiLvlLbl val="0"/>
      </c:catAx>
      <c:valAx>
        <c:axId val="116824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Crescimentos - Top 10 Growth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Análise-Analysis '!$K$2</c:f>
              <c:strCache>
                <c:ptCount val="1"/>
                <c:pt idx="0">
                  <c:v> Crescimento/queda - Growth/Stay		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 Análise-Analysis '!$J$3:$J$12</c:f>
              <c:strCache>
                <c:ptCount val="10"/>
                <c:pt idx="0">
                  <c:v>Jersey Mikeâ€™s</c:v>
                </c:pt>
                <c:pt idx="1">
                  <c:v>McDonaldâ€™s</c:v>
                </c:pt>
                <c:pt idx="2">
                  <c:v>Jersey Mikeâ€™s</c:v>
                </c:pt>
                <c:pt idx="3">
                  <c:v>Taco Bell</c:v>
                </c:pt>
                <c:pt idx="4">
                  <c:v>Chipotle</c:v>
                </c:pt>
                <c:pt idx="5">
                  <c:v>Wingstop</c:v>
                </c:pt>
                <c:pt idx="6">
                  <c:v>Dunkin'</c:v>
                </c:pt>
                <c:pt idx="7">
                  <c:v>Chick-fil-A</c:v>
                </c:pt>
                <c:pt idx="8">
                  <c:v>Panda Express</c:v>
                </c:pt>
                <c:pt idx="9">
                  <c:v>Popeyes Louisiana Kitchen</c:v>
                </c:pt>
              </c:strCache>
            </c:strRef>
          </c:cat>
          <c:val>
            <c:numRef>
              <c:f>' Análise-Analysis '!$K$3:$K$12</c:f>
              <c:numCache>
                <c:formatCode>General</c:formatCode>
                <c:ptCount val="10"/>
                <c:pt idx="0">
                  <c:v>246</c:v>
                </c:pt>
                <c:pt idx="1">
                  <c:v>244</c:v>
                </c:pt>
                <c:pt idx="2">
                  <c:v>205</c:v>
                </c:pt>
                <c:pt idx="3">
                  <c:v>203</c:v>
                </c:pt>
                <c:pt idx="4">
                  <c:v>198</c:v>
                </c:pt>
                <c:pt idx="5">
                  <c:v>175</c:v>
                </c:pt>
                <c:pt idx="6">
                  <c:v>161</c:v>
                </c:pt>
                <c:pt idx="7">
                  <c:v>155</c:v>
                </c:pt>
                <c:pt idx="8">
                  <c:v>150</c:v>
                </c:pt>
                <c:pt idx="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D8-470E-81E6-A3393A843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21000"/>
        <c:axId val="1067037704"/>
      </c:barChart>
      <c:catAx>
        <c:axId val="100162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37704"/>
        <c:crosses val="autoZero"/>
        <c:auto val="1"/>
        <c:lblAlgn val="ctr"/>
        <c:lblOffset val="100"/>
        <c:noMultiLvlLbl val="0"/>
      </c:catAx>
      <c:valAx>
        <c:axId val="106703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2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Análise-Analysis '!$O$2</c:f>
              <c:strCache>
                <c:ptCount val="1"/>
                <c:pt idx="0">
                  <c:v>Total de Lojas - Total number of stores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 Análise-Analysis '!$N$3:$N$4</c:f>
              <c:strCache>
                <c:ptCount val="2"/>
                <c:pt idx="0">
                  <c:v>Franchised Stores</c:v>
                </c:pt>
                <c:pt idx="1">
                  <c:v>Company-owned</c:v>
                </c:pt>
              </c:strCache>
            </c:strRef>
          </c:cat>
          <c:val>
            <c:numRef>
              <c:f>' Análise-Analysis '!$O$3:$O$4</c:f>
              <c:numCache>
                <c:formatCode>General</c:formatCode>
                <c:ptCount val="2"/>
                <c:pt idx="0">
                  <c:v>133198</c:v>
                </c:pt>
                <c:pt idx="1">
                  <c:v>25175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D-4A0A-9D64-0AE1DDC1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0297224"/>
        <c:axId val="1166672904"/>
      </c:barChart>
      <c:catAx>
        <c:axId val="106029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672904"/>
        <c:crosses val="autoZero"/>
        <c:auto val="1"/>
        <c:lblAlgn val="ctr"/>
        <c:lblOffset val="100"/>
        <c:noMultiLvlLbl val="0"/>
      </c:catAx>
      <c:valAx>
        <c:axId val="116667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9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219075</xdr:colOff>
      <xdr:row>30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A362C6-C410-08A5-1D27-56D4593EAAB3}"/>
            </a:ext>
          </a:extLst>
        </xdr:cNvPr>
        <xdr:cNvSpPr txBox="1"/>
      </xdr:nvSpPr>
      <xdr:spPr>
        <a:xfrm>
          <a:off x="38100" y="0"/>
          <a:ext cx="5667375" cy="62388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accent1">
              <a:lumMod val="60000"/>
              <a:lumOff val="4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📑 </a:t>
          </a:r>
          <a:r>
            <a:rPr lang="en-US" sz="1100" b="1">
              <a:latin typeface="+mn-lt"/>
              <a:ea typeface="+mn-lt"/>
              <a:cs typeface="+mn-lt"/>
            </a:rPr>
            <a:t>Documentation (English)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About the Dataset This dataset contains information about the top 50 fast-food chains in the United States for the year 2021. Fast food refers to mass-produced meals designed for quick service, often using pre-prepared or frozen ingredients. The industry is a major part of global food consumption, valued at approximately $570 billion worldwide in 2018.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dataset provides insights into sales performance, store distribution, and growth trends of the leading chains. It is useful for analyzing market dominance, efficiency per unit, and expansion strategies.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Dataset Glossary</a:t>
          </a: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Fast-Food Chains</a:t>
          </a:r>
          <a:r>
            <a:rPr lang="en-US" sz="1100">
              <a:latin typeface="+mn-lt"/>
              <a:ea typeface="+mn-lt"/>
              <a:cs typeface="+mn-lt"/>
            </a:rPr>
            <a:t> → Name of the fast-food chain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U.S. Systemwide Sales (Millions - USD)</a:t>
          </a:r>
          <a:r>
            <a:rPr lang="en-US" sz="1100">
              <a:latin typeface="+mn-lt"/>
              <a:ea typeface="+mn-lt"/>
              <a:cs typeface="+mn-lt"/>
            </a:rPr>
            <a:t> → Total sales across all U.S. stores (in millions of dollars)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Average Sales per Unit (Thousands - USD)</a:t>
          </a:r>
          <a:r>
            <a:rPr lang="en-US" sz="1100">
              <a:latin typeface="+mn-lt"/>
              <a:ea typeface="+mn-lt"/>
              <a:cs typeface="+mn-lt"/>
            </a:rPr>
            <a:t> → Average revenue per store (in thousands of dollars)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Franchised Stores</a:t>
          </a:r>
          <a:r>
            <a:rPr lang="en-US" sz="1100">
              <a:latin typeface="+mn-lt"/>
              <a:ea typeface="+mn-lt"/>
              <a:cs typeface="+mn-lt"/>
            </a:rPr>
            <a:t> → Number of franchised units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Company Stores </a:t>
          </a:r>
          <a:r>
            <a:rPr lang="en-US" sz="1100">
              <a:latin typeface="+mn-lt"/>
              <a:ea typeface="+mn-lt"/>
              <a:cs typeface="+mn-lt"/>
            </a:rPr>
            <a:t>→ Number of company-owned units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2021 Total Units </a:t>
          </a:r>
          <a:r>
            <a:rPr lang="en-US" sz="1100">
              <a:latin typeface="+mn-lt"/>
              <a:ea typeface="+mn-lt"/>
              <a:cs typeface="+mn-lt"/>
            </a:rPr>
            <a:t>→ Total number of stores in 2021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Total Change in Units from 2020</a:t>
          </a:r>
          <a:r>
            <a:rPr lang="en-US" sz="1100">
              <a:latin typeface="+mn-lt"/>
              <a:ea typeface="+mn-lt"/>
              <a:cs typeface="+mn-lt"/>
            </a:rPr>
            <a:t> → Net increase or decrease in store count compared to 2020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Interpretation of value measures: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b="1">
              <a:latin typeface="+mn-lt"/>
              <a:ea typeface="+mn-lt"/>
              <a:cs typeface="+mn-lt"/>
            </a:rPr>
            <a:t>Mi USD (Millions of U.S. Dollars)</a:t>
          </a:r>
          <a:r>
            <a:rPr lang="en-US" sz="1100">
              <a:latin typeface="+mn-lt"/>
              <a:ea typeface="+mn-lt"/>
              <a:cs typeface="+mn-lt"/>
            </a:rPr>
            <a:t> → values expressed in millions of dollars.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Example: 4462 Mi USD = 4,462,000,000 USD (4.46 billion).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Formula: Actual value = number × 1,000,000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</a:t>
          </a:r>
          <a:r>
            <a:rPr lang="en-US" sz="1100" b="1">
              <a:latin typeface="+mn-lt"/>
              <a:ea typeface="+mn-lt"/>
              <a:cs typeface="+mn-lt"/>
            </a:rPr>
            <a:t> k USD (Thousands of U.S. Dollars)</a:t>
          </a:r>
          <a:r>
            <a:rPr lang="en-US" sz="1100">
              <a:latin typeface="+mn-lt"/>
              <a:ea typeface="+mn-lt"/>
              <a:cs typeface="+mn-lt"/>
            </a:rPr>
            <a:t> → values expressed in thousands of dollars.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Example: 1309 k USD = 1,309,000 USD (1.3 million).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Formula: Actual value = number × 1,000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10</xdr:col>
      <xdr:colOff>95250</xdr:colOff>
      <xdr:row>0</xdr:row>
      <xdr:rowOff>0</xdr:rowOff>
    </xdr:from>
    <xdr:to>
      <xdr:col>19</xdr:col>
      <xdr:colOff>123825</xdr:colOff>
      <xdr:row>30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8DC1DF-F259-4867-9C94-6BF8F82B793A}"/>
            </a:ext>
            <a:ext uri="{147F2762-F138-4A5C-976F-8EAC2B608ADB}">
              <a16:predDERef xmlns:a16="http://schemas.microsoft.com/office/drawing/2014/main" pred="{0CA362C6-C410-08A5-1D27-56D4593EAAB3}"/>
            </a:ext>
          </a:extLst>
        </xdr:cNvPr>
        <xdr:cNvSpPr txBox="1"/>
      </xdr:nvSpPr>
      <xdr:spPr>
        <a:xfrm>
          <a:off x="6191250" y="0"/>
          <a:ext cx="5514975" cy="62484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📑</a:t>
          </a:r>
          <a:r>
            <a:rPr lang="en-US" sz="1100" b="1">
              <a:solidFill>
                <a:schemeClr val="tx1"/>
              </a:solidFill>
              <a:latin typeface="+mn-lt"/>
              <a:ea typeface="+mn-lt"/>
              <a:cs typeface="+mn-lt"/>
            </a:rPr>
            <a:t> Documentação (Português)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Sobre o Dataset Este dataset reúne informações sobre as 50 maiores redes de fast-food nos Estados Unidos em 2021. Fast-food é um tipo de refeição produzida em larga escala, com foco em rapidez no atendimento, geralmente utilizando ingredientes pré-preparados ou congelados. A indústria é um dos pilares do consumo global de alimentos, avaliada em cerca de 570 bilhões de dólares em 2018.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 dataset traz detalhes sobre desempenho de vendas, distribuição de lojas e tendências de crescimento das principais redes. Ele é útil para analisar liderança de mercado, eficiência por unidade e estratégias de expansão.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Glossário das Colunas</a:t>
          </a: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Fast-Food Chains</a:t>
          </a:r>
          <a:r>
            <a:rPr lang="en-US" sz="1100">
              <a:latin typeface="+mn-lt"/>
              <a:ea typeface="+mn-lt"/>
              <a:cs typeface="+mn-lt"/>
            </a:rPr>
            <a:t> → Nome da rede de fast-food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U.S. Systemwide Sales (Milhões - USD)</a:t>
          </a:r>
          <a:r>
            <a:rPr lang="en-US" sz="1100">
              <a:latin typeface="+mn-lt"/>
              <a:ea typeface="+mn-lt"/>
              <a:cs typeface="+mn-lt"/>
            </a:rPr>
            <a:t> → Vendas totais nos EUA (em milhões de dólares)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Average Sales per Unit (Milhares - USD)</a:t>
          </a:r>
          <a:r>
            <a:rPr lang="en-US" sz="1100">
              <a:latin typeface="+mn-lt"/>
              <a:ea typeface="+mn-lt"/>
              <a:cs typeface="+mn-lt"/>
            </a:rPr>
            <a:t> → Receita média por loja (em milhares de dólares)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Franchised Stores</a:t>
          </a:r>
          <a:r>
            <a:rPr lang="en-US" sz="1100">
              <a:latin typeface="+mn-lt"/>
              <a:ea typeface="+mn-lt"/>
              <a:cs typeface="+mn-lt"/>
            </a:rPr>
            <a:t> → Número de lojas franqueadas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Company Stores </a:t>
          </a:r>
          <a:r>
            <a:rPr lang="en-US" sz="1100">
              <a:latin typeface="+mn-lt"/>
              <a:ea typeface="+mn-lt"/>
              <a:cs typeface="+mn-lt"/>
            </a:rPr>
            <a:t>→ Número de lojas próprias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2021 Total Units </a:t>
          </a:r>
          <a:r>
            <a:rPr lang="en-US" sz="1100">
              <a:latin typeface="+mn-lt"/>
              <a:ea typeface="+mn-lt"/>
              <a:cs typeface="+mn-lt"/>
            </a:rPr>
            <a:t>→ Total de unidades em 2021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Total Change in Units from 2020 </a:t>
          </a:r>
          <a:r>
            <a:rPr lang="en-US" sz="1100">
              <a:latin typeface="+mn-lt"/>
              <a:ea typeface="+mn-lt"/>
              <a:cs typeface="+mn-lt"/>
            </a:rPr>
            <a:t>→ Variação no número de unidades em relação a 2020</a:t>
          </a:r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Interpretação das medidas de valor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Mi USD (Millions of U.S. Dollars)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→ valores em milhões de dólares.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Exemplo: 4462 Mi USD = 4.462.000.000 USD (4,46 bilhões).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Fórmula: Valor real = número × 1.000.000</a:t>
          </a:r>
        </a:p>
        <a:p>
          <a:pPr marL="0" indent="0" algn="l"/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k USD (Thousands of U.S. Dollars)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→ valores em milhares de dólares.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Exemplo: 1309 k USD = 1.309.000 USD (1,3 milhão).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Fórmula: Valor real = número × 1.000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17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C77A26-A7C5-4513-8D80-5B509DFDF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600075</xdr:colOff>
      <xdr:row>36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960350-F23B-56BA-F809-7549B7CFD50B}"/>
            </a:ext>
            <a:ext uri="{147F2762-F138-4A5C-976F-8EAC2B608ADB}">
              <a16:predDERef xmlns:a16="http://schemas.microsoft.com/office/drawing/2014/main" pred="{77C77A26-A7C5-4513-8D80-5B509DFDF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9525</xdr:rowOff>
    </xdr:from>
    <xdr:to>
      <xdr:col>10</xdr:col>
      <xdr:colOff>0</xdr:colOff>
      <xdr:row>55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F5290E-F656-B7AD-CC02-B6AD96CB4B2A}"/>
            </a:ext>
            <a:ext uri="{147F2762-F138-4A5C-976F-8EAC2B608ADB}">
              <a16:predDERef xmlns:a16="http://schemas.microsoft.com/office/drawing/2014/main" pred="{2F960350-F23B-56BA-F809-7549B7CFD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180975</xdr:rowOff>
    </xdr:from>
    <xdr:to>
      <xdr:col>10</xdr:col>
      <xdr:colOff>9525</xdr:colOff>
      <xdr:row>74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6BE361-F65B-0E53-6D48-BD4B0346BA5A}"/>
            </a:ext>
            <a:ext uri="{147F2762-F138-4A5C-976F-8EAC2B608ADB}">
              <a16:predDERef xmlns:a16="http://schemas.microsoft.com/office/drawing/2014/main" pred="{46F5290E-F656-B7AD-CC02-B6AD96CB4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9.732255787036" createdVersion="8" refreshedVersion="8" minRefreshableVersion="3" recordCount="50" xr:uid="{DDAD8CA0-B47D-4B23-B8F2-B87AAB9B0FC5}">
  <cacheSource type="worksheet">
    <worksheetSource ref="A1:G51" sheet="Top 50 Fast-Food EUA"/>
  </cacheSource>
  <cacheFields count="7">
    <cacheField name="Fast-Food Chains" numFmtId="49">
      <sharedItems count="50">
        <s v="Arbyâ€™s"/>
        <s v="Baskin-Robbins"/>
        <s v="Bojangles"/>
        <s v="Burger King"/>
        <s v="Carlâ€™s Jr."/>
        <s v="Checkers/Rallyâ€™s"/>
        <s v="Chick-fil-A"/>
        <s v="Chipotle"/>
        <s v="Churchâ€™s Chicken"/>
        <s v="Culverâ€™s"/>
        <s v="Dairy Queen"/>
        <s v="Del Taco"/>
        <s v="Domino's"/>
        <s v="Dunkin'"/>
        <s v="El Pollo Loco"/>
        <s v="Firehouse Subs"/>
        <s v="Five Guys"/>
        <s v="Freddyâ€™s Frozen Custard &amp; Steakburgers"/>
        <s v="Hardeeâ€™s"/>
        <s v="In-N-Out Burger"/>
        <s v="Jack in the Box"/>
        <s v="Jersey Mikeâ€™s"/>
        <s v="Jimmy Johnâ€™s"/>
        <s v="KFC"/>
        <s v="Krispy Kreme"/>
        <s v="Little Caesars"/>
        <s v="Marcoâ€™s Pizza"/>
        <s v="McAlisterâ€™s Deli"/>
        <s v="McDonaldâ€™s"/>
        <s v="Moeâ€™s Southwest Grill"/>
        <s v="Panda Express"/>
        <s v="Panera Bread"/>
        <s v="Papa Johns"/>
        <s v="Papa Murphyâ€™s"/>
        <s v="Pizza Hut"/>
        <s v="Popeyes Louisiana Kitchen"/>
        <s v="QDOBA"/>
        <s v="Raising Caneâ€™s"/>
        <s v="Shake Shack"/>
        <s v="Sonic Drive-In"/>
        <s v="Starbucks"/>
        <s v="Subway"/>
        <s v="Taco Bell"/>
        <s v="Tim Hortons"/>
        <s v="Tropical Smoothie Cafe"/>
        <s v="Wendy's"/>
        <s v="Whataburger"/>
        <s v="White Castle"/>
        <s v="Wingstop"/>
        <s v="Zaxbyâ€™s"/>
      </sharedItems>
    </cacheField>
    <cacheField name="U.S. Systemwide Sales (Millions - U.S Dollars)" numFmtId="165">
      <sharedItems containsSemiMixedTypes="0" containsString="0" containsNumber="1" containsInteger="1" minValue="615" maxValue="45960" count="49">
        <n v="4462"/>
        <n v="686"/>
        <n v="1485"/>
        <n v="10033"/>
        <n v="1560"/>
        <n v="931"/>
        <n v="16700"/>
        <n v="7547"/>
        <n v="776"/>
        <n v="2489"/>
        <n v="4494"/>
        <n v="8641"/>
        <n v="10416"/>
        <n v="973"/>
        <n v="1044"/>
        <n v="2093"/>
        <n v="759"/>
        <n v="2100"/>
        <n v="1175"/>
        <n v="4077"/>
        <n v="2203"/>
        <n v="2301"/>
        <n v="5100"/>
        <n v="996"/>
        <n v="4185"/>
        <n v="899"/>
        <n v="869"/>
        <n v="45960"/>
        <n v="661"/>
        <n v="4452"/>
        <n v="5650"/>
        <n v="3486"/>
        <n v="809"/>
        <n v="5500"/>
        <n v="4775"/>
        <n v="835"/>
        <n v="2377"/>
        <n v="777"/>
        <n v="5835"/>
        <n v="24300"/>
        <n v="9350"/>
        <n v="12600"/>
        <n v="687"/>
        <n v="948"/>
        <n v="11111"/>
        <n v="3089"/>
        <n v="615"/>
        <n v="2278"/>
        <n v="2233"/>
      </sharedItems>
    </cacheField>
    <cacheField name="Average Sales per Unit (Thousands - U.S Dollars)" numFmtId="165">
      <sharedItems containsSemiMixedTypes="0" containsString="0" containsNumber="1" containsInteger="1" minValue="296" maxValue="6100"/>
    </cacheField>
    <cacheField name="Franchised Stores" numFmtId="1">
      <sharedItems containsSemiMixedTypes="0" containsString="0" containsNumber="1" containsInteger="1" minValue="0" maxValue="21147"/>
    </cacheField>
    <cacheField name="Company Stores" numFmtId="1">
      <sharedItems containsSemiMixedTypes="0" containsString="0" containsNumber="1" containsInteger="1" minValue="0" maxValue="8953"/>
    </cacheField>
    <cacheField name="2021 Total Units" numFmtId="1">
      <sharedItems containsSemiMixedTypes="0" containsString="0" containsNumber="1" containsInteger="1" minValue="243" maxValue="21147"/>
    </cacheField>
    <cacheField name="Total Change in Units from 2020" numFmtId="1">
      <sharedItems containsSemiMixedTypes="0" containsString="0" containsNumber="1" containsInteger="1" minValue="-1043" maxValue="2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309"/>
    <n v="2293"/>
    <n v="1116"/>
    <n v="3409"/>
    <n v="40"/>
  </r>
  <r>
    <x v="1"/>
    <x v="1"/>
    <n v="296"/>
    <n v="2317"/>
    <n v="0"/>
    <n v="2317"/>
    <n v="102"/>
  </r>
  <r>
    <x v="2"/>
    <x v="2"/>
    <n v="1924"/>
    <n v="496"/>
    <n v="277"/>
    <n v="773"/>
    <n v="15"/>
  </r>
  <r>
    <x v="3"/>
    <x v="3"/>
    <n v="1470"/>
    <n v="7054"/>
    <n v="51"/>
    <n v="7105"/>
    <n v="24"/>
  </r>
  <r>
    <x v="4"/>
    <x v="4"/>
    <n v="1400"/>
    <n v="1011"/>
    <n v="47"/>
    <n v="1058"/>
    <n v="-21"/>
  </r>
  <r>
    <x v="5"/>
    <x v="5"/>
    <n v="1145"/>
    <n v="568"/>
    <n v="266"/>
    <n v="834"/>
    <n v="-13"/>
  </r>
  <r>
    <x v="6"/>
    <x v="6"/>
    <n v="6100"/>
    <n v="2650"/>
    <n v="82"/>
    <n v="2732"/>
    <n v="155"/>
  </r>
  <r>
    <x v="7"/>
    <x v="7"/>
    <n v="2641"/>
    <n v="0"/>
    <n v="2966"/>
    <n v="2966"/>
    <n v="198"/>
  </r>
  <r>
    <x v="8"/>
    <x v="8"/>
    <n v="870"/>
    <n v="731"/>
    <n v="161"/>
    <n v="892"/>
    <n v="-13"/>
  </r>
  <r>
    <x v="9"/>
    <x v="9"/>
    <n v="3099"/>
    <n v="831"/>
    <n v="6"/>
    <n v="837"/>
    <n v="55"/>
  </r>
  <r>
    <x v="10"/>
    <x v="10"/>
    <n v="1036"/>
    <n v="4337"/>
    <n v="2"/>
    <n v="4339"/>
    <n v="-22"/>
  </r>
  <r>
    <x v="11"/>
    <x v="5"/>
    <n v="1551"/>
    <n v="306"/>
    <n v="294"/>
    <n v="600"/>
    <n v="4"/>
  </r>
  <r>
    <x v="12"/>
    <x v="11"/>
    <n v="1317"/>
    <n v="6185"/>
    <n v="375"/>
    <n v="6560"/>
    <n v="205"/>
  </r>
  <r>
    <x v="13"/>
    <x v="12"/>
    <n v="1127"/>
    <n v="9244"/>
    <n v="0"/>
    <n v="9244"/>
    <n v="161"/>
  </r>
  <r>
    <x v="14"/>
    <x v="13"/>
    <n v="2000"/>
    <n v="292"/>
    <n v="189"/>
    <n v="481"/>
    <n v="1"/>
  </r>
  <r>
    <x v="15"/>
    <x v="14"/>
    <n v="909"/>
    <n v="1101"/>
    <n v="39"/>
    <n v="1140"/>
    <n v="9"/>
  </r>
  <r>
    <x v="16"/>
    <x v="15"/>
    <n v="3172"/>
    <n v="911"/>
    <n v="479"/>
    <n v="1390"/>
    <n v="8"/>
  </r>
  <r>
    <x v="17"/>
    <x v="16"/>
    <n v="1842"/>
    <n v="391"/>
    <n v="29"/>
    <n v="420"/>
    <n v="32"/>
  </r>
  <r>
    <x v="18"/>
    <x v="17"/>
    <n v="1117"/>
    <n v="1536"/>
    <n v="198"/>
    <n v="1734"/>
    <n v="-32"/>
  </r>
  <r>
    <x v="19"/>
    <x v="18"/>
    <n v="3200"/>
    <n v="0"/>
    <n v="370"/>
    <n v="370"/>
    <n v="5"/>
  </r>
  <r>
    <x v="20"/>
    <x v="19"/>
    <n v="1843"/>
    <n v="2055"/>
    <n v="163"/>
    <n v="2218"/>
    <n v="-23"/>
  </r>
  <r>
    <x v="21"/>
    <x v="20"/>
    <n v="1145"/>
    <n v="2087"/>
    <n v="13"/>
    <n v="2100"/>
    <n v="246"/>
  </r>
  <r>
    <x v="22"/>
    <x v="21"/>
    <n v="866"/>
    <n v="2616"/>
    <n v="41"/>
    <n v="2657"/>
    <n v="48"/>
  </r>
  <r>
    <x v="23"/>
    <x v="22"/>
    <n v="1408"/>
    <n v="3906"/>
    <n v="47"/>
    <n v="3953"/>
    <n v="10"/>
  </r>
  <r>
    <x v="24"/>
    <x v="23"/>
    <n v="4000"/>
    <n v="51"/>
    <n v="307"/>
    <n v="358"/>
    <n v="6"/>
  </r>
  <r>
    <x v="25"/>
    <x v="24"/>
    <n v="1000"/>
    <n v="3601"/>
    <n v="580"/>
    <n v="4181"/>
    <n v="-28"/>
  </r>
  <r>
    <x v="26"/>
    <x v="25"/>
    <n v="934"/>
    <n v="957"/>
    <n v="45"/>
    <n v="1002"/>
    <n v="48"/>
  </r>
  <r>
    <x v="27"/>
    <x v="26"/>
    <n v="1866"/>
    <n v="472"/>
    <n v="33"/>
    <n v="505"/>
    <n v="24"/>
  </r>
  <r>
    <x v="28"/>
    <x v="27"/>
    <n v="3420"/>
    <n v="12775"/>
    <n v="663"/>
    <n v="13438"/>
    <n v="244"/>
  </r>
  <r>
    <x v="29"/>
    <x v="28"/>
    <n v="1073"/>
    <n v="658"/>
    <n v="1"/>
    <n v="659"/>
    <n v="-22"/>
  </r>
  <r>
    <x v="30"/>
    <x v="29"/>
    <n v="2173"/>
    <n v="147"/>
    <n v="2187"/>
    <n v="2334"/>
    <n v="150"/>
  </r>
  <r>
    <x v="31"/>
    <x v="30"/>
    <n v="2700"/>
    <n v="1130"/>
    <n v="950"/>
    <n v="2080"/>
    <n v="-25"/>
  </r>
  <r>
    <x v="32"/>
    <x v="31"/>
    <n v="1147"/>
    <n v="2564"/>
    <n v="600"/>
    <n v="3164"/>
    <n v="30"/>
  </r>
  <r>
    <x v="33"/>
    <x v="32"/>
    <n v="643"/>
    <n v="1213"/>
    <n v="27"/>
    <n v="1240"/>
    <n v="-53"/>
  </r>
  <r>
    <x v="34"/>
    <x v="33"/>
    <n v="1022"/>
    <n v="6526"/>
    <n v="22"/>
    <n v="6548"/>
    <n v="-13"/>
  </r>
  <r>
    <x v="35"/>
    <x v="34"/>
    <n v="1867"/>
    <n v="2716"/>
    <n v="41"/>
    <n v="2754"/>
    <n v="146"/>
  </r>
  <r>
    <x v="36"/>
    <x v="35"/>
    <n v="1006"/>
    <n v="406"/>
    <n v="333"/>
    <n v="739"/>
    <n v="2"/>
  </r>
  <r>
    <x v="37"/>
    <x v="36"/>
    <n v="4893"/>
    <n v="23"/>
    <n v="544"/>
    <n v="567"/>
    <n v="58"/>
  </r>
  <r>
    <x v="38"/>
    <x v="37"/>
    <n v="3679"/>
    <n v="25"/>
    <n v="218"/>
    <n v="243"/>
    <n v="38"/>
  </r>
  <r>
    <x v="39"/>
    <x v="38"/>
    <n v="1643"/>
    <n v="3232"/>
    <n v="320"/>
    <n v="3552"/>
    <n v="26"/>
  </r>
  <r>
    <x v="40"/>
    <x v="39"/>
    <n v="1200"/>
    <n v="6497"/>
    <n v="8953"/>
    <n v="15450"/>
    <n v="113"/>
  </r>
  <r>
    <x v="41"/>
    <x v="40"/>
    <n v="438"/>
    <n v="21147"/>
    <n v="0"/>
    <n v="21147"/>
    <n v="-1043"/>
  </r>
  <r>
    <x v="42"/>
    <x v="41"/>
    <n v="1823"/>
    <n v="6540"/>
    <n v="462"/>
    <n v="7002"/>
    <n v="203"/>
  </r>
  <r>
    <x v="43"/>
    <x v="42"/>
    <n v="1200"/>
    <n v="637"/>
    <n v="0"/>
    <n v="637"/>
    <n v="4"/>
  </r>
  <r>
    <x v="44"/>
    <x v="43"/>
    <n v="1009"/>
    <n v="1038"/>
    <n v="1"/>
    <n v="1039"/>
    <n v="125"/>
  </r>
  <r>
    <x v="45"/>
    <x v="44"/>
    <n v="1895"/>
    <n v="5535"/>
    <n v="403"/>
    <n v="5938"/>
    <n v="57"/>
  </r>
  <r>
    <x v="46"/>
    <x v="45"/>
    <n v="3640"/>
    <n v="131"/>
    <n v="742"/>
    <n v="873"/>
    <n v="29"/>
  </r>
  <r>
    <x v="47"/>
    <x v="46"/>
    <n v="1749"/>
    <n v="0"/>
    <n v="349"/>
    <n v="349"/>
    <n v="-6"/>
  </r>
  <r>
    <x v="48"/>
    <x v="47"/>
    <n v="1592"/>
    <n v="1498"/>
    <n v="36"/>
    <n v="1534"/>
    <n v="175"/>
  </r>
  <r>
    <x v="49"/>
    <x v="48"/>
    <n v="2484"/>
    <n v="761"/>
    <n v="147"/>
    <n v="90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41C24-C488-45CE-9E33-D2B4DEA4289D}" name="Tabela dinâmica3" cacheId="12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1:G52" firstHeaderRow="0" firstDataRow="1" firstDataCol="1"/>
  <pivotFields count="7">
    <pivotField name="Rede – Chain " axis="axisRow"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numFmtId="165" outline="0" showAll="0">
      <items count="50">
        <item x="46"/>
        <item x="28"/>
        <item x="1"/>
        <item x="42"/>
        <item x="16"/>
        <item x="8"/>
        <item x="37"/>
        <item x="32"/>
        <item x="35"/>
        <item x="26"/>
        <item x="25"/>
        <item x="5"/>
        <item x="43"/>
        <item x="13"/>
        <item x="23"/>
        <item x="14"/>
        <item x="18"/>
        <item x="2"/>
        <item x="4"/>
        <item x="15"/>
        <item x="17"/>
        <item x="20"/>
        <item x="48"/>
        <item x="47"/>
        <item x="21"/>
        <item x="36"/>
        <item x="9"/>
        <item x="45"/>
        <item x="31"/>
        <item x="19"/>
        <item x="24"/>
        <item x="29"/>
        <item x="0"/>
        <item x="10"/>
        <item x="34"/>
        <item x="22"/>
        <item x="33"/>
        <item x="30"/>
        <item x="38"/>
        <item x="7"/>
        <item x="11"/>
        <item x="40"/>
        <item x="3"/>
        <item x="12"/>
        <item x="44"/>
        <item x="41"/>
        <item x="6"/>
        <item x="39"/>
        <item x="27"/>
        <item t="default"/>
      </items>
    </pivotField>
    <pivotField dataField="1" compact="0" numFmtId="165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Vendas Totais (Mi USD) – Total Sales (M USD) " fld="1" baseField="0" baseItem="0" numFmtId="165"/>
    <dataField name="Venda Média por Unidade (k USD) – Avg Sales per Unit (k USD) " fld="2" baseField="0" baseItem="0" numFmtId="165"/>
    <dataField name="  Lojas Franqueadas – Franchised Units " fld="3" baseField="0" baseItem="0" numFmtId="1"/>
    <dataField name=" Lojas Próprias – Company-Owned Units " fld="5" baseField="0" baseItem="0" numFmtId="1"/>
    <dataField name="Total de Lojas (2021) – Total Units (2021) " fld="4" baseField="0" baseItem="0" numFmtId="1"/>
    <dataField name="Variação de Lojas (vs 2020) – Unit Change (vs 2020)" fld="6" baseField="0" baseItem="0" numFmtId="1"/>
  </dataFields>
  <formats count="12"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11">
      <pivotArea outline="0" collapsedLevelsAreSubtotals="1" fieldPosition="0"/>
    </format>
    <format dxfId="12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/>
      </pivotAreas>
    </conditionalFormat>
    <conditionalFormat priority="2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1drv.ms/x/c/2a6a0b08340c322e/IQAFvRvVrE94SLngrJAp6IMQARwy3DIR7NU_QLLCuwRfCDg?e=c2vycp&amp;nav=MTVfezRGQzMwNEE5LUMwMDctNDdBRC04RDkyLTJBOTY4NTVCMTJCQX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x/c/2a6a0b08340c322e/IQAFvRvVrE94SLngrJAp6IMQARwy3DIR7NU_QLLCuwRfCDg?e=c2vycp&amp;nav=MTVfezRGQzMwNEE5LUMwMDctNDdBRC04RDkyLTJBOTY4NTVCMTJCQX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1drv.ms/x/c/2a6a0b08340c322e/IQAFvRvVrE94SLngrJAp6IMQARwy3DIR7NU_QLLCuwRfCDg?e=c2vycp&amp;nav=MTVfezRGQzMwNEE5LUMwMDctNDdBRC04RDkyLTJBOTY4NTVCMTJCQX0" TargetMode="Externa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x/c/2a6a0b08340c322e/IQAFvRvVrE94SLngrJAp6IMQARwy3DIR7NU_QLLCuwRfCDg?e=c2vycp&amp;nav=MTVfezRGQzMwNEE5LUMwMDctNDdBRC04RDkyLTJBOTY4NTVCMTJCQX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1drv.ms/x/c/2a6a0b08340c322e/IQAFvRvVrE94SLngrJAp6IMQARwy3DIR7NU_QLLCuwRfCDg?e=c2vycp&amp;nav=MTVfezRGQzMwNEE5LUMwMDctNDdBRC04RDkyLTJBOTY4NTVCMTJCQ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04A9-C007-47AD-8D92-2A96855B12BA}">
  <dimension ref="A1:W7"/>
  <sheetViews>
    <sheetView showGridLines="0" workbookViewId="0">
      <selection activeCell="J1" sqref="J1:K1048576"/>
    </sheetView>
  </sheetViews>
  <sheetFormatPr defaultRowHeight="15"/>
  <cols>
    <col min="1" max="9" width="9.140625" style="29"/>
    <col min="10" max="11" width="9.140625" style="52"/>
    <col min="12" max="20" width="9.140625" style="29"/>
    <col min="22" max="22" width="29.85546875" customWidth="1"/>
  </cols>
  <sheetData>
    <row r="1" spans="21:23" ht="43.5" customHeight="1">
      <c r="U1" s="29"/>
      <c r="V1" s="48" t="s">
        <v>0</v>
      </c>
      <c r="W1" s="29"/>
    </row>
    <row r="2" spans="21:23">
      <c r="U2" s="29"/>
      <c r="V2" s="49" t="str">
        <f>HYPERLINK("#'Documentação-Documentation'!A1","Documentação-Documentation")</f>
        <v>Documentação-Documentation</v>
      </c>
      <c r="W2" s="29"/>
    </row>
    <row r="3" spans="21:23">
      <c r="U3" s="29"/>
      <c r="V3" s="49" t="str">
        <f>HYPERLINK("#'Top 50 Fast-Food EUA'!A1","Top 50 Fast-Food EUA")</f>
        <v>Top 50 Fast-Food EUA</v>
      </c>
      <c r="W3" s="29"/>
    </row>
    <row r="4" spans="21:23">
      <c r="U4" s="29"/>
      <c r="V4" s="49" t="str">
        <f>HYPERLINK("#'Tabela Dinãmica-Pivot table'!A1","Tabela Dinâmica-Pivot table")</f>
        <v>Tabela Dinâmica-Pivot table</v>
      </c>
      <c r="W4" s="29"/>
    </row>
    <row r="5" spans="21:23">
      <c r="U5" s="29"/>
      <c r="V5" s="49" t="str">
        <f>HYPERLINK("#' Análise-Analysis '!A1"," Análise-Analysis ")</f>
        <v xml:space="preserve"> Análise-Analysis </v>
      </c>
      <c r="W5" s="29"/>
    </row>
    <row r="6" spans="21:23">
      <c r="U6" s="29"/>
      <c r="V6" s="49" t="str">
        <f>HYPERLINK("#'Gráficos-Graphics '!A1","Gráficos-Graphics ")</f>
        <v xml:space="preserve">Gráficos-Graphics </v>
      </c>
      <c r="W6" s="29"/>
    </row>
    <row r="7" spans="21:23">
      <c r="U7" s="29"/>
      <c r="V7" s="29"/>
      <c r="W7" s="29"/>
    </row>
  </sheetData>
  <mergeCells count="1">
    <mergeCell ref="J1:K1048576"/>
  </mergeCells>
  <hyperlinks>
    <hyperlink ref="V2" r:id="rId1" display="Documentação - Documentation" xr:uid="{E0966858-C505-4689-BD85-05EDC341FD4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BBE-A2D5-4343-8D6F-EE2638F1B33C}">
  <dimension ref="A1:N51"/>
  <sheetViews>
    <sheetView showGridLines="0" topLeftCell="D1" workbookViewId="0">
      <selection activeCell="I6" sqref="I6"/>
    </sheetView>
  </sheetViews>
  <sheetFormatPr defaultRowHeight="15"/>
  <cols>
    <col min="1" max="1" width="40" style="1" customWidth="1"/>
    <col min="2" max="2" width="50.28515625" style="36" customWidth="1"/>
    <col min="3" max="3" width="64.42578125" style="36" customWidth="1"/>
    <col min="4" max="4" width="20.7109375" customWidth="1"/>
    <col min="5" max="5" width="15.5703125" customWidth="1"/>
    <col min="6" max="6" width="17.7109375" customWidth="1"/>
    <col min="7" max="7" width="29" customWidth="1"/>
    <col min="8" max="8" width="9.140625" style="7"/>
    <col min="9" max="9" width="32.5703125" customWidth="1"/>
    <col min="15" max="15" width="25.7109375" customWidth="1"/>
  </cols>
  <sheetData>
    <row r="1" spans="1:14" s="6" customFormat="1" ht="15.75" customHeight="1">
      <c r="A1" s="3" t="s">
        <v>1</v>
      </c>
      <c r="B1" s="35" t="s">
        <v>2</v>
      </c>
      <c r="C1" s="35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29"/>
      <c r="I1" s="48" t="s">
        <v>0</v>
      </c>
      <c r="J1" s="29"/>
    </row>
    <row r="2" spans="1:14" ht="15" customHeight="1">
      <c r="A2" s="5" t="s">
        <v>8</v>
      </c>
      <c r="B2" s="10">
        <v>4462</v>
      </c>
      <c r="C2" s="10">
        <v>1309</v>
      </c>
      <c r="D2" s="10">
        <v>2293</v>
      </c>
      <c r="E2" s="10">
        <v>1116</v>
      </c>
      <c r="F2" s="10">
        <v>3409</v>
      </c>
      <c r="G2" s="10">
        <v>40</v>
      </c>
      <c r="H2" s="29"/>
      <c r="I2" s="49" t="str">
        <f>HYPERLINK("#'Documentação-Documentation'!A1","Documentação-Documentation")</f>
        <v>Documentação-Documentation</v>
      </c>
      <c r="J2" s="29"/>
    </row>
    <row r="3" spans="1:14">
      <c r="A3" s="5" t="s">
        <v>9</v>
      </c>
      <c r="B3" s="10">
        <v>686</v>
      </c>
      <c r="C3" s="10">
        <v>296</v>
      </c>
      <c r="D3" s="10">
        <v>2317</v>
      </c>
      <c r="E3" s="10">
        <v>0</v>
      </c>
      <c r="F3" s="10">
        <v>2317</v>
      </c>
      <c r="G3" s="10">
        <v>102</v>
      </c>
      <c r="H3" s="29"/>
      <c r="I3" s="49" t="str">
        <f>HYPERLINK("#'Top 50 Fast-Food EUA'!A1","Top 50 Fast-Food EUA")</f>
        <v>Top 50 Fast-Food EUA</v>
      </c>
      <c r="J3" s="29"/>
    </row>
    <row r="4" spans="1:14">
      <c r="A4" s="5" t="s">
        <v>10</v>
      </c>
      <c r="B4" s="10">
        <v>1485</v>
      </c>
      <c r="C4" s="10">
        <v>1924</v>
      </c>
      <c r="D4" s="10">
        <v>496</v>
      </c>
      <c r="E4" s="10">
        <v>277</v>
      </c>
      <c r="F4" s="10">
        <v>773</v>
      </c>
      <c r="G4" s="10">
        <v>15</v>
      </c>
      <c r="H4" s="29"/>
      <c r="I4" s="49" t="str">
        <f>HYPERLINK("#'Tabela Dinãmica-Pivot table'!A1","Tabela Dinâmica-Pivot table")</f>
        <v>Tabela Dinâmica-Pivot table</v>
      </c>
      <c r="J4" s="29"/>
    </row>
    <row r="5" spans="1:14">
      <c r="A5" s="5" t="s">
        <v>11</v>
      </c>
      <c r="B5" s="10">
        <v>10033</v>
      </c>
      <c r="C5" s="10">
        <v>1470</v>
      </c>
      <c r="D5" s="10">
        <v>7054</v>
      </c>
      <c r="E5" s="10">
        <v>51</v>
      </c>
      <c r="F5" s="10">
        <v>7105</v>
      </c>
      <c r="G5" s="10">
        <v>24</v>
      </c>
      <c r="H5" s="29"/>
      <c r="I5" s="50" t="str">
        <f>HYPERLINK("#' Análise-Analysis '!A1"," Análise-Analysis ")</f>
        <v xml:space="preserve"> Análise-Analysis </v>
      </c>
      <c r="J5" s="29"/>
    </row>
    <row r="6" spans="1:14">
      <c r="A6" s="5" t="s">
        <v>12</v>
      </c>
      <c r="B6" s="10">
        <v>1560</v>
      </c>
      <c r="C6" s="10">
        <v>1400</v>
      </c>
      <c r="D6" s="10">
        <v>1011</v>
      </c>
      <c r="E6" s="10">
        <v>47</v>
      </c>
      <c r="F6" s="10">
        <v>1058</v>
      </c>
      <c r="G6" s="10">
        <v>-21</v>
      </c>
      <c r="H6" s="29"/>
      <c r="I6" s="50" t="str">
        <f>HYPERLINK("#'Gráficos-Graphics '!A1","Gráficos-Graphics ")</f>
        <v xml:space="preserve">Gráficos-Graphics </v>
      </c>
      <c r="J6" s="29"/>
    </row>
    <row r="7" spans="1:14">
      <c r="A7" s="5" t="s">
        <v>13</v>
      </c>
      <c r="B7" s="10">
        <v>931</v>
      </c>
      <c r="C7" s="10">
        <v>1145</v>
      </c>
      <c r="D7" s="10">
        <v>568</v>
      </c>
      <c r="E7" s="10">
        <v>266</v>
      </c>
      <c r="F7" s="10">
        <v>834</v>
      </c>
      <c r="G7" s="10">
        <v>-13</v>
      </c>
      <c r="H7" s="29"/>
      <c r="I7" s="29"/>
      <c r="J7" s="29"/>
    </row>
    <row r="8" spans="1:14">
      <c r="A8" s="5" t="s">
        <v>14</v>
      </c>
      <c r="B8" s="10">
        <v>16700</v>
      </c>
      <c r="C8" s="10">
        <v>6100</v>
      </c>
      <c r="D8" s="10">
        <v>2650</v>
      </c>
      <c r="E8" s="10">
        <v>82</v>
      </c>
      <c r="F8" s="10">
        <v>2732</v>
      </c>
      <c r="G8" s="10">
        <v>155</v>
      </c>
      <c r="H8" s="9"/>
      <c r="N8" s="8"/>
    </row>
    <row r="9" spans="1:14">
      <c r="A9" s="5" t="s">
        <v>15</v>
      </c>
      <c r="B9" s="10">
        <v>7547</v>
      </c>
      <c r="C9" s="10">
        <v>2641</v>
      </c>
      <c r="D9" s="10">
        <v>0</v>
      </c>
      <c r="E9" s="10">
        <v>2966</v>
      </c>
      <c r="F9" s="10">
        <v>2966</v>
      </c>
      <c r="G9" s="10">
        <v>198</v>
      </c>
      <c r="H9" s="9"/>
    </row>
    <row r="10" spans="1:14">
      <c r="A10" s="5" t="s">
        <v>16</v>
      </c>
      <c r="B10" s="10">
        <v>776</v>
      </c>
      <c r="C10" s="10">
        <v>870</v>
      </c>
      <c r="D10" s="10">
        <v>731</v>
      </c>
      <c r="E10" s="10">
        <v>161</v>
      </c>
      <c r="F10" s="10">
        <v>892</v>
      </c>
      <c r="G10" s="10">
        <v>-13</v>
      </c>
      <c r="H10" s="9"/>
    </row>
    <row r="11" spans="1:14">
      <c r="A11" s="5" t="s">
        <v>17</v>
      </c>
      <c r="B11" s="10">
        <v>2489</v>
      </c>
      <c r="C11" s="10">
        <v>3099</v>
      </c>
      <c r="D11" s="10">
        <v>831</v>
      </c>
      <c r="E11" s="10">
        <v>6</v>
      </c>
      <c r="F11" s="10">
        <v>837</v>
      </c>
      <c r="G11" s="10">
        <v>55</v>
      </c>
      <c r="H11" s="9"/>
    </row>
    <row r="12" spans="1:14">
      <c r="A12" s="5" t="s">
        <v>18</v>
      </c>
      <c r="B12" s="10">
        <v>4494</v>
      </c>
      <c r="C12" s="10">
        <v>1036</v>
      </c>
      <c r="D12" s="10">
        <v>4337</v>
      </c>
      <c r="E12" s="10">
        <v>2</v>
      </c>
      <c r="F12" s="10">
        <v>4339</v>
      </c>
      <c r="G12" s="10">
        <v>-22</v>
      </c>
      <c r="H12" s="9"/>
    </row>
    <row r="13" spans="1:14">
      <c r="A13" s="5" t="s">
        <v>19</v>
      </c>
      <c r="B13" s="10">
        <v>931</v>
      </c>
      <c r="C13" s="10">
        <v>1551</v>
      </c>
      <c r="D13" s="10">
        <v>306</v>
      </c>
      <c r="E13" s="10">
        <v>294</v>
      </c>
      <c r="F13" s="10">
        <v>600</v>
      </c>
      <c r="G13" s="10">
        <v>4</v>
      </c>
      <c r="H13" s="9"/>
    </row>
    <row r="14" spans="1:14">
      <c r="A14" s="5" t="s">
        <v>20</v>
      </c>
      <c r="B14" s="10">
        <v>8641</v>
      </c>
      <c r="C14" s="10">
        <v>1317</v>
      </c>
      <c r="D14" s="10">
        <v>6185</v>
      </c>
      <c r="E14" s="10">
        <v>375</v>
      </c>
      <c r="F14" s="10">
        <v>6560</v>
      </c>
      <c r="G14" s="10">
        <v>205</v>
      </c>
      <c r="H14" s="9"/>
    </row>
    <row r="15" spans="1:14">
      <c r="A15" s="5" t="s">
        <v>21</v>
      </c>
      <c r="B15" s="10">
        <v>10416</v>
      </c>
      <c r="C15" s="10">
        <v>1127</v>
      </c>
      <c r="D15" s="10">
        <v>9244</v>
      </c>
      <c r="E15" s="10">
        <v>0</v>
      </c>
      <c r="F15" s="10">
        <v>9244</v>
      </c>
      <c r="G15" s="10">
        <v>161</v>
      </c>
      <c r="H15" s="9"/>
    </row>
    <row r="16" spans="1:14">
      <c r="A16" s="5" t="s">
        <v>22</v>
      </c>
      <c r="B16" s="10">
        <v>973</v>
      </c>
      <c r="C16" s="10">
        <v>2000</v>
      </c>
      <c r="D16" s="10">
        <v>292</v>
      </c>
      <c r="E16" s="10">
        <v>189</v>
      </c>
      <c r="F16" s="10">
        <v>481</v>
      </c>
      <c r="G16" s="10">
        <v>1</v>
      </c>
      <c r="H16" s="9"/>
    </row>
    <row r="17" spans="1:8">
      <c r="A17" s="5" t="s">
        <v>23</v>
      </c>
      <c r="B17" s="10">
        <v>1044</v>
      </c>
      <c r="C17" s="10">
        <v>909</v>
      </c>
      <c r="D17" s="10">
        <v>1101</v>
      </c>
      <c r="E17" s="10">
        <v>39</v>
      </c>
      <c r="F17" s="10">
        <v>1140</v>
      </c>
      <c r="G17" s="10">
        <v>9</v>
      </c>
      <c r="H17" s="9"/>
    </row>
    <row r="18" spans="1:8">
      <c r="A18" s="5" t="s">
        <v>24</v>
      </c>
      <c r="B18" s="10">
        <v>2093</v>
      </c>
      <c r="C18" s="10">
        <v>3172</v>
      </c>
      <c r="D18" s="10">
        <v>911</v>
      </c>
      <c r="E18" s="10">
        <v>479</v>
      </c>
      <c r="F18" s="10">
        <v>1390</v>
      </c>
      <c r="G18" s="10">
        <v>8</v>
      </c>
      <c r="H18" s="9"/>
    </row>
    <row r="19" spans="1:8">
      <c r="A19" s="5" t="s">
        <v>25</v>
      </c>
      <c r="B19" s="10">
        <v>759</v>
      </c>
      <c r="C19" s="10">
        <v>1842</v>
      </c>
      <c r="D19" s="10">
        <v>391</v>
      </c>
      <c r="E19" s="10">
        <v>29</v>
      </c>
      <c r="F19" s="10">
        <v>420</v>
      </c>
      <c r="G19" s="10">
        <v>32</v>
      </c>
      <c r="H19" s="9"/>
    </row>
    <row r="20" spans="1:8">
      <c r="A20" s="5" t="s">
        <v>26</v>
      </c>
      <c r="B20" s="10">
        <v>2100</v>
      </c>
      <c r="C20" s="10">
        <v>1117</v>
      </c>
      <c r="D20" s="10">
        <v>1536</v>
      </c>
      <c r="E20" s="10">
        <v>198</v>
      </c>
      <c r="F20" s="10">
        <v>1734</v>
      </c>
      <c r="G20" s="10">
        <v>-32</v>
      </c>
      <c r="H20" s="9"/>
    </row>
    <row r="21" spans="1:8">
      <c r="A21" s="5" t="s">
        <v>27</v>
      </c>
      <c r="B21" s="10">
        <v>1175</v>
      </c>
      <c r="C21" s="10">
        <v>3200</v>
      </c>
      <c r="D21" s="10">
        <v>0</v>
      </c>
      <c r="E21" s="10">
        <v>370</v>
      </c>
      <c r="F21" s="10">
        <v>370</v>
      </c>
      <c r="G21" s="10">
        <v>5</v>
      </c>
      <c r="H21" s="9"/>
    </row>
    <row r="22" spans="1:8">
      <c r="A22" s="5" t="s">
        <v>28</v>
      </c>
      <c r="B22" s="10">
        <v>4077</v>
      </c>
      <c r="C22" s="10">
        <v>1843</v>
      </c>
      <c r="D22" s="10">
        <v>2055</v>
      </c>
      <c r="E22" s="10">
        <v>163</v>
      </c>
      <c r="F22" s="10">
        <v>2218</v>
      </c>
      <c r="G22" s="10">
        <v>-23</v>
      </c>
      <c r="H22" s="9"/>
    </row>
    <row r="23" spans="1:8">
      <c r="A23" s="5" t="s">
        <v>29</v>
      </c>
      <c r="B23" s="10">
        <v>2203</v>
      </c>
      <c r="C23" s="10">
        <v>1145</v>
      </c>
      <c r="D23" s="10">
        <v>2087</v>
      </c>
      <c r="E23" s="10">
        <v>13</v>
      </c>
      <c r="F23" s="10">
        <v>2100</v>
      </c>
      <c r="G23" s="10">
        <v>246</v>
      </c>
      <c r="H23" s="9"/>
    </row>
    <row r="24" spans="1:8">
      <c r="A24" s="5" t="s">
        <v>30</v>
      </c>
      <c r="B24" s="10">
        <v>2301</v>
      </c>
      <c r="C24" s="10">
        <v>866</v>
      </c>
      <c r="D24" s="10">
        <v>2616</v>
      </c>
      <c r="E24" s="10">
        <v>41</v>
      </c>
      <c r="F24" s="10">
        <v>2657</v>
      </c>
      <c r="G24" s="10">
        <v>48</v>
      </c>
      <c r="H24" s="9"/>
    </row>
    <row r="25" spans="1:8">
      <c r="A25" s="5" t="s">
        <v>31</v>
      </c>
      <c r="B25" s="10">
        <v>5100</v>
      </c>
      <c r="C25" s="10">
        <v>1408</v>
      </c>
      <c r="D25" s="10">
        <v>3906</v>
      </c>
      <c r="E25" s="10">
        <v>47</v>
      </c>
      <c r="F25" s="10">
        <v>3953</v>
      </c>
      <c r="G25" s="10">
        <v>10</v>
      </c>
      <c r="H25" s="9"/>
    </row>
    <row r="26" spans="1:8">
      <c r="A26" s="5" t="s">
        <v>32</v>
      </c>
      <c r="B26" s="10">
        <v>996</v>
      </c>
      <c r="C26" s="10">
        <v>4000</v>
      </c>
      <c r="D26" s="10">
        <v>51</v>
      </c>
      <c r="E26" s="10">
        <v>307</v>
      </c>
      <c r="F26" s="10">
        <v>358</v>
      </c>
      <c r="G26" s="10">
        <v>6</v>
      </c>
      <c r="H26" s="9"/>
    </row>
    <row r="27" spans="1:8">
      <c r="A27" s="5" t="s">
        <v>33</v>
      </c>
      <c r="B27" s="10">
        <v>4185</v>
      </c>
      <c r="C27" s="10">
        <v>1000</v>
      </c>
      <c r="D27" s="10">
        <v>3601</v>
      </c>
      <c r="E27" s="10">
        <v>580</v>
      </c>
      <c r="F27" s="10">
        <v>4181</v>
      </c>
      <c r="G27" s="10">
        <v>-28</v>
      </c>
      <c r="H27" s="9"/>
    </row>
    <row r="28" spans="1:8">
      <c r="A28" s="5" t="s">
        <v>34</v>
      </c>
      <c r="B28" s="10">
        <v>899</v>
      </c>
      <c r="C28" s="10">
        <v>934</v>
      </c>
      <c r="D28" s="10">
        <v>957</v>
      </c>
      <c r="E28" s="10">
        <v>45</v>
      </c>
      <c r="F28" s="10">
        <v>1002</v>
      </c>
      <c r="G28" s="10">
        <v>48</v>
      </c>
      <c r="H28" s="9"/>
    </row>
    <row r="29" spans="1:8">
      <c r="A29" s="5" t="s">
        <v>35</v>
      </c>
      <c r="B29" s="10">
        <v>869</v>
      </c>
      <c r="C29" s="10">
        <v>1866</v>
      </c>
      <c r="D29" s="10">
        <v>472</v>
      </c>
      <c r="E29" s="10">
        <v>33</v>
      </c>
      <c r="F29" s="10">
        <v>505</v>
      </c>
      <c r="G29" s="10">
        <v>24</v>
      </c>
      <c r="H29" s="9"/>
    </row>
    <row r="30" spans="1:8">
      <c r="A30" s="5" t="s">
        <v>36</v>
      </c>
      <c r="B30" s="10">
        <v>45960</v>
      </c>
      <c r="C30" s="10">
        <v>3420</v>
      </c>
      <c r="D30" s="10">
        <v>12775</v>
      </c>
      <c r="E30" s="10">
        <v>663</v>
      </c>
      <c r="F30" s="10">
        <v>13438</v>
      </c>
      <c r="G30" s="10">
        <v>244</v>
      </c>
      <c r="H30" s="9"/>
    </row>
    <row r="31" spans="1:8">
      <c r="A31" s="5" t="s">
        <v>37</v>
      </c>
      <c r="B31" s="10">
        <v>661</v>
      </c>
      <c r="C31" s="10">
        <v>1073</v>
      </c>
      <c r="D31" s="10">
        <v>658</v>
      </c>
      <c r="E31" s="10">
        <v>1</v>
      </c>
      <c r="F31" s="10">
        <v>659</v>
      </c>
      <c r="G31" s="10">
        <v>-22</v>
      </c>
      <c r="H31" s="9"/>
    </row>
    <row r="32" spans="1:8">
      <c r="A32" s="5" t="s">
        <v>38</v>
      </c>
      <c r="B32" s="10">
        <v>4452</v>
      </c>
      <c r="C32" s="10">
        <v>2173</v>
      </c>
      <c r="D32" s="10">
        <v>147</v>
      </c>
      <c r="E32" s="10">
        <v>2187</v>
      </c>
      <c r="F32" s="10">
        <v>2334</v>
      </c>
      <c r="G32" s="10">
        <v>150</v>
      </c>
      <c r="H32" s="9"/>
    </row>
    <row r="33" spans="1:9">
      <c r="A33" s="5" t="s">
        <v>39</v>
      </c>
      <c r="B33" s="10">
        <v>5650</v>
      </c>
      <c r="C33" s="10">
        <v>2700</v>
      </c>
      <c r="D33" s="10">
        <v>1130</v>
      </c>
      <c r="E33" s="10">
        <v>950</v>
      </c>
      <c r="F33" s="10">
        <v>2080</v>
      </c>
      <c r="G33" s="10">
        <v>-25</v>
      </c>
      <c r="H33" s="9"/>
    </row>
    <row r="34" spans="1:9">
      <c r="A34" s="5" t="s">
        <v>40</v>
      </c>
      <c r="B34" s="10">
        <v>3486</v>
      </c>
      <c r="C34" s="10">
        <v>1147</v>
      </c>
      <c r="D34" s="10">
        <v>2564</v>
      </c>
      <c r="E34" s="10">
        <v>600</v>
      </c>
      <c r="F34" s="10">
        <v>3164</v>
      </c>
      <c r="G34" s="10">
        <v>30</v>
      </c>
      <c r="H34" s="9"/>
    </row>
    <row r="35" spans="1:9">
      <c r="A35" s="5" t="s">
        <v>41</v>
      </c>
      <c r="B35" s="10">
        <v>809</v>
      </c>
      <c r="C35" s="10">
        <v>643</v>
      </c>
      <c r="D35" s="10">
        <v>1213</v>
      </c>
      <c r="E35" s="10">
        <v>27</v>
      </c>
      <c r="F35" s="10">
        <v>1240</v>
      </c>
      <c r="G35" s="10">
        <v>-53</v>
      </c>
      <c r="H35" s="9"/>
    </row>
    <row r="36" spans="1:9">
      <c r="A36" s="5" t="s">
        <v>42</v>
      </c>
      <c r="B36" s="10">
        <v>5500</v>
      </c>
      <c r="C36" s="10">
        <v>1022</v>
      </c>
      <c r="D36" s="10">
        <v>6526</v>
      </c>
      <c r="E36" s="10">
        <v>22</v>
      </c>
      <c r="F36" s="10">
        <v>6548</v>
      </c>
      <c r="G36" s="10">
        <v>-13</v>
      </c>
      <c r="H36" s="9"/>
    </row>
    <row r="37" spans="1:9">
      <c r="A37" s="5" t="s">
        <v>43</v>
      </c>
      <c r="B37" s="10">
        <v>4775</v>
      </c>
      <c r="C37" s="10">
        <v>1867</v>
      </c>
      <c r="D37" s="10">
        <v>2716</v>
      </c>
      <c r="E37" s="10">
        <v>41</v>
      </c>
      <c r="F37" s="10">
        <v>2754</v>
      </c>
      <c r="G37" s="10">
        <v>146</v>
      </c>
      <c r="H37" s="9"/>
    </row>
    <row r="38" spans="1:9">
      <c r="A38" s="5" t="s">
        <v>44</v>
      </c>
      <c r="B38" s="10">
        <v>835</v>
      </c>
      <c r="C38" s="10">
        <v>1006</v>
      </c>
      <c r="D38" s="10">
        <v>406</v>
      </c>
      <c r="E38" s="10">
        <v>333</v>
      </c>
      <c r="F38" s="10">
        <v>739</v>
      </c>
      <c r="G38" s="10">
        <v>2</v>
      </c>
      <c r="H38" s="9"/>
    </row>
    <row r="39" spans="1:9">
      <c r="A39" s="5" t="s">
        <v>45</v>
      </c>
      <c r="B39" s="10">
        <v>2377</v>
      </c>
      <c r="C39" s="10">
        <v>4893</v>
      </c>
      <c r="D39" s="10">
        <v>23</v>
      </c>
      <c r="E39" s="10">
        <v>544</v>
      </c>
      <c r="F39" s="10">
        <v>567</v>
      </c>
      <c r="G39" s="10">
        <v>58</v>
      </c>
      <c r="H39" s="9"/>
    </row>
    <row r="40" spans="1:9">
      <c r="A40" s="5" t="s">
        <v>46</v>
      </c>
      <c r="B40" s="10">
        <v>777</v>
      </c>
      <c r="C40" s="10">
        <v>3679</v>
      </c>
      <c r="D40" s="10">
        <v>25</v>
      </c>
      <c r="E40" s="10">
        <v>218</v>
      </c>
      <c r="F40" s="10">
        <v>243</v>
      </c>
      <c r="G40" s="10">
        <v>38</v>
      </c>
      <c r="H40" s="9"/>
    </row>
    <row r="41" spans="1:9">
      <c r="A41" s="5" t="s">
        <v>47</v>
      </c>
      <c r="B41" s="10">
        <v>5835</v>
      </c>
      <c r="C41" s="10">
        <v>1643</v>
      </c>
      <c r="D41" s="10">
        <v>3232</v>
      </c>
      <c r="E41" s="10">
        <v>320</v>
      </c>
      <c r="F41" s="10">
        <v>3552</v>
      </c>
      <c r="G41" s="10">
        <v>26</v>
      </c>
      <c r="H41" s="9"/>
    </row>
    <row r="42" spans="1:9">
      <c r="A42" s="5" t="s">
        <v>48</v>
      </c>
      <c r="B42" s="10">
        <v>24300</v>
      </c>
      <c r="C42" s="10">
        <v>1200</v>
      </c>
      <c r="D42" s="10">
        <v>6497</v>
      </c>
      <c r="E42" s="10">
        <v>8953</v>
      </c>
      <c r="F42" s="10">
        <v>15450</v>
      </c>
      <c r="G42" s="10">
        <v>113</v>
      </c>
      <c r="H42" s="9"/>
    </row>
    <row r="43" spans="1:9">
      <c r="A43" s="5" t="s">
        <v>49</v>
      </c>
      <c r="B43" s="10">
        <v>9350</v>
      </c>
      <c r="C43" s="10">
        <v>438</v>
      </c>
      <c r="D43" s="10">
        <v>21147</v>
      </c>
      <c r="E43" s="10">
        <v>0</v>
      </c>
      <c r="F43" s="10">
        <v>21147</v>
      </c>
      <c r="G43" s="10">
        <v>-1043</v>
      </c>
      <c r="H43" s="9"/>
    </row>
    <row r="44" spans="1:9">
      <c r="A44" s="5" t="s">
        <v>50</v>
      </c>
      <c r="B44" s="10">
        <v>12600</v>
      </c>
      <c r="C44" s="10">
        <v>1823</v>
      </c>
      <c r="D44" s="10">
        <v>6540</v>
      </c>
      <c r="E44" s="10">
        <v>462</v>
      </c>
      <c r="F44" s="10">
        <v>7002</v>
      </c>
      <c r="G44" s="10">
        <v>203</v>
      </c>
      <c r="H44" s="9"/>
    </row>
    <row r="45" spans="1:9">
      <c r="A45" s="5" t="s">
        <v>51</v>
      </c>
      <c r="B45" s="10">
        <v>687</v>
      </c>
      <c r="C45" s="10">
        <v>1200</v>
      </c>
      <c r="D45" s="10">
        <v>637</v>
      </c>
      <c r="E45" s="10">
        <v>0</v>
      </c>
      <c r="F45" s="10">
        <v>637</v>
      </c>
      <c r="G45" s="10">
        <v>4</v>
      </c>
      <c r="H45" s="9"/>
    </row>
    <row r="46" spans="1:9">
      <c r="A46" s="5" t="s">
        <v>52</v>
      </c>
      <c r="B46" s="10">
        <v>948</v>
      </c>
      <c r="C46" s="10">
        <v>1009</v>
      </c>
      <c r="D46" s="10">
        <v>1038</v>
      </c>
      <c r="E46" s="10">
        <v>1</v>
      </c>
      <c r="F46" s="10">
        <v>1039</v>
      </c>
      <c r="G46" s="10">
        <v>125</v>
      </c>
      <c r="H46" s="9"/>
      <c r="I46" s="2"/>
    </row>
    <row r="47" spans="1:9">
      <c r="A47" s="5" t="s">
        <v>53</v>
      </c>
      <c r="B47" s="10">
        <v>11111</v>
      </c>
      <c r="C47" s="10">
        <v>1895</v>
      </c>
      <c r="D47" s="10">
        <v>5535</v>
      </c>
      <c r="E47" s="10">
        <v>403</v>
      </c>
      <c r="F47" s="10">
        <v>5938</v>
      </c>
      <c r="G47" s="10">
        <v>57</v>
      </c>
      <c r="H47" s="9"/>
    </row>
    <row r="48" spans="1:9">
      <c r="A48" s="5" t="s">
        <v>54</v>
      </c>
      <c r="B48" s="10">
        <v>3089</v>
      </c>
      <c r="C48" s="10">
        <v>3640</v>
      </c>
      <c r="D48" s="10">
        <v>131</v>
      </c>
      <c r="E48" s="10">
        <v>742</v>
      </c>
      <c r="F48" s="10">
        <v>873</v>
      </c>
      <c r="G48" s="10">
        <v>29</v>
      </c>
      <c r="H48" s="9"/>
    </row>
    <row r="49" spans="1:8">
      <c r="A49" s="5" t="s">
        <v>55</v>
      </c>
      <c r="B49" s="10">
        <v>615</v>
      </c>
      <c r="C49" s="10">
        <v>1749</v>
      </c>
      <c r="D49" s="10">
        <v>0</v>
      </c>
      <c r="E49" s="10">
        <v>349</v>
      </c>
      <c r="F49" s="10">
        <v>349</v>
      </c>
      <c r="G49" s="10">
        <v>-6</v>
      </c>
      <c r="H49" s="9"/>
    </row>
    <row r="50" spans="1:8">
      <c r="A50" s="5" t="s">
        <v>56</v>
      </c>
      <c r="B50" s="10">
        <v>2278</v>
      </c>
      <c r="C50" s="10">
        <v>1592</v>
      </c>
      <c r="D50" s="10">
        <v>1498</v>
      </c>
      <c r="E50" s="10">
        <v>36</v>
      </c>
      <c r="F50" s="10">
        <v>1534</v>
      </c>
      <c r="G50" s="10">
        <v>175</v>
      </c>
      <c r="H50" s="9"/>
    </row>
    <row r="51" spans="1:8">
      <c r="A51" s="5" t="s">
        <v>57</v>
      </c>
      <c r="B51" s="10">
        <v>2233</v>
      </c>
      <c r="C51" s="10">
        <v>2484</v>
      </c>
      <c r="D51" s="10">
        <v>761</v>
      </c>
      <c r="E51" s="10">
        <v>147</v>
      </c>
      <c r="F51" s="10">
        <v>908</v>
      </c>
      <c r="G51" s="10">
        <v>3</v>
      </c>
      <c r="H51" s="9"/>
    </row>
  </sheetData>
  <conditionalFormatting sqref="B2:G51">
    <cfRule type="cellIs" dxfId="3" priority="2" operator="greaterThan">
      <formula>0</formula>
    </cfRule>
  </conditionalFormatting>
  <conditionalFormatting sqref="B2:G51">
    <cfRule type="cellIs" dxfId="2" priority="1" operator="lessThanOrEqual">
      <formula>0</formula>
    </cfRule>
  </conditionalFormatting>
  <hyperlinks>
    <hyperlink ref="I2" r:id="rId1" display="Documentação - Documentation" xr:uid="{F42420FA-21F4-4A2D-9A70-B7BA7BF58734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66BF-48C8-4CEE-B63D-BEA91630DDD8}">
  <dimension ref="A1:J52"/>
  <sheetViews>
    <sheetView topLeftCell="F1" workbookViewId="0">
      <selection activeCell="I15" sqref="I15"/>
    </sheetView>
  </sheetViews>
  <sheetFormatPr defaultRowHeight="15"/>
  <cols>
    <col min="1" max="1" width="38.42578125" style="13" bestFit="1" customWidth="1"/>
    <col min="2" max="2" width="41.28515625" bestFit="1" customWidth="1"/>
    <col min="3" max="3" width="56.85546875" customWidth="1"/>
    <col min="4" max="4" width="35.42578125" bestFit="1" customWidth="1"/>
    <col min="5" max="5" width="35.7109375" customWidth="1"/>
    <col min="6" max="6" width="36.5703125" bestFit="1" customWidth="1"/>
    <col min="7" max="7" width="46" customWidth="1"/>
    <col min="8" max="8" width="7.5703125" customWidth="1"/>
    <col min="9" max="9" width="36.5703125" bestFit="1" customWidth="1"/>
    <col min="10" max="10" width="6.5703125" customWidth="1"/>
    <col min="11" max="11" width="12" bestFit="1" customWidth="1"/>
    <col min="12" max="12" width="8.42578125" bestFit="1" customWidth="1"/>
    <col min="13" max="13" width="9.28515625" bestFit="1" customWidth="1"/>
    <col min="14" max="14" width="7.7109375" bestFit="1" customWidth="1"/>
    <col min="15" max="15" width="12" bestFit="1" customWidth="1"/>
    <col min="16" max="16" width="14.28515625" bestFit="1" customWidth="1"/>
    <col min="17" max="17" width="9.28515625" bestFit="1" customWidth="1"/>
    <col min="18" max="18" width="39.140625" bestFit="1" customWidth="1"/>
    <col min="19" max="19" width="11.85546875" bestFit="1" customWidth="1"/>
    <col min="20" max="20" width="15.140625" bestFit="1" customWidth="1"/>
    <col min="21" max="21" width="14" bestFit="1" customWidth="1"/>
    <col min="22" max="23" width="15.7109375" bestFit="1" customWidth="1"/>
    <col min="24" max="24" width="4.140625" bestFit="1" customWidth="1"/>
    <col min="25" max="26" width="12.7109375" bestFit="1" customWidth="1"/>
    <col min="27" max="27" width="16" bestFit="1" customWidth="1"/>
    <col min="28" max="28" width="17.85546875" bestFit="1" customWidth="1"/>
    <col min="29" max="29" width="14.5703125" bestFit="1" customWidth="1"/>
    <col min="30" max="30" width="23.5703125" bestFit="1" customWidth="1"/>
    <col min="31" max="31" width="13.5703125" bestFit="1" customWidth="1"/>
    <col min="32" max="32" width="12.85546875" bestFit="1" customWidth="1"/>
    <col min="33" max="33" width="10.7109375" bestFit="1" customWidth="1"/>
    <col min="34" max="34" width="17.28515625" bestFit="1" customWidth="1"/>
    <col min="35" max="35" width="9" bestFit="1" customWidth="1"/>
    <col min="36" max="36" width="24.42578125" bestFit="1" customWidth="1"/>
    <col min="37" max="37" width="7.5703125" bestFit="1" customWidth="1"/>
    <col min="38" max="38" width="16.5703125" bestFit="1" customWidth="1"/>
    <col min="39" max="39" width="11.85546875" bestFit="1" customWidth="1"/>
    <col min="40" max="40" width="13.140625" bestFit="1" customWidth="1"/>
    <col min="41" max="41" width="9.5703125" bestFit="1" customWidth="1"/>
    <col min="42" max="42" width="7.85546875" bestFit="1" customWidth="1"/>
    <col min="43" max="43" width="8.85546875" bestFit="1" customWidth="1"/>
    <col min="44" max="44" width="11.85546875" bestFit="1" customWidth="1"/>
    <col min="45" max="45" width="21.42578125" bestFit="1" customWidth="1"/>
    <col min="46" max="46" width="8.5703125" bestFit="1" customWidth="1"/>
    <col min="47" max="47" width="12.7109375" bestFit="1" customWidth="1"/>
    <col min="48" max="48" width="12.140625" bestFit="1" customWidth="1"/>
    <col min="49" max="49" width="9.42578125" bestFit="1" customWidth="1"/>
    <col min="50" max="50" width="10.5703125" bestFit="1" customWidth="1"/>
    <col min="51" max="51" width="10.7109375" bestFit="1" customWidth="1"/>
  </cols>
  <sheetData>
    <row r="1" spans="1:10">
      <c r="A1" s="45" t="s">
        <v>58</v>
      </c>
      <c r="B1" s="43" t="s">
        <v>59</v>
      </c>
      <c r="C1" s="44" t="s">
        <v>60</v>
      </c>
      <c r="D1" s="43" t="s">
        <v>61</v>
      </c>
      <c r="E1" s="44" t="s">
        <v>62</v>
      </c>
      <c r="F1" s="44" t="s">
        <v>63</v>
      </c>
      <c r="G1" s="44" t="s">
        <v>64</v>
      </c>
      <c r="H1" s="29"/>
      <c r="I1" s="48" t="s">
        <v>0</v>
      </c>
      <c r="J1" s="29"/>
    </row>
    <row r="2" spans="1:10">
      <c r="A2" s="13" t="s">
        <v>8</v>
      </c>
      <c r="B2" s="46">
        <v>4462</v>
      </c>
      <c r="C2" s="46">
        <v>1309</v>
      </c>
      <c r="D2" s="47">
        <v>2293</v>
      </c>
      <c r="E2" s="47">
        <v>3409</v>
      </c>
      <c r="F2" s="47">
        <v>1116</v>
      </c>
      <c r="G2" s="47">
        <v>40</v>
      </c>
      <c r="H2" s="29"/>
      <c r="I2" s="49" t="str">
        <f>HYPERLINK("#'Documentação-Documentation'!A1","Documentação-Documentation")</f>
        <v>Documentação-Documentation</v>
      </c>
      <c r="J2" s="29"/>
    </row>
    <row r="3" spans="1:10" ht="20.25" customHeight="1">
      <c r="A3" s="13" t="s">
        <v>9</v>
      </c>
      <c r="B3" s="11">
        <v>686</v>
      </c>
      <c r="C3" s="11">
        <v>296</v>
      </c>
      <c r="D3" s="12">
        <v>2317</v>
      </c>
      <c r="E3" s="12">
        <v>2317</v>
      </c>
      <c r="F3" s="12">
        <v>0</v>
      </c>
      <c r="G3" s="12">
        <v>102</v>
      </c>
      <c r="H3" s="29"/>
      <c r="I3" s="49" t="str">
        <f>HYPERLINK("#'Top 50 Fast-Food EUA'!A1","Top 50 Fast-Food EUA")</f>
        <v>Top 50 Fast-Food EUA</v>
      </c>
      <c r="J3" s="29"/>
    </row>
    <row r="4" spans="1:10">
      <c r="A4" s="13" t="s">
        <v>10</v>
      </c>
      <c r="B4" s="11">
        <v>1485</v>
      </c>
      <c r="C4" s="11">
        <v>1924</v>
      </c>
      <c r="D4" s="12">
        <v>496</v>
      </c>
      <c r="E4" s="12">
        <v>773</v>
      </c>
      <c r="F4" s="12">
        <v>277</v>
      </c>
      <c r="G4" s="12">
        <v>15</v>
      </c>
      <c r="H4" s="29"/>
      <c r="I4" s="49" t="str">
        <f>HYPERLINK("#'Tabela Dinãmica-Pivot table'!A1","Tabela Dinâmica-Pivot table")</f>
        <v>Tabela Dinâmica-Pivot table</v>
      </c>
      <c r="J4" s="29"/>
    </row>
    <row r="5" spans="1:10">
      <c r="A5" s="13" t="s">
        <v>11</v>
      </c>
      <c r="B5" s="11">
        <v>10033</v>
      </c>
      <c r="C5" s="11">
        <v>1470</v>
      </c>
      <c r="D5" s="12">
        <v>7054</v>
      </c>
      <c r="E5" s="12">
        <v>7105</v>
      </c>
      <c r="F5" s="12">
        <v>51</v>
      </c>
      <c r="G5" s="12">
        <v>24</v>
      </c>
      <c r="H5" s="29"/>
      <c r="I5" s="49" t="str">
        <f>HYPERLINK("#' Análise-Analysis '!A1"," Análise-Analysis ")</f>
        <v xml:space="preserve"> Análise-Analysis </v>
      </c>
      <c r="J5" s="29"/>
    </row>
    <row r="6" spans="1:10">
      <c r="A6" s="13" t="s">
        <v>12</v>
      </c>
      <c r="B6" s="11">
        <v>1560</v>
      </c>
      <c r="C6" s="11">
        <v>1400</v>
      </c>
      <c r="D6" s="12">
        <v>1011</v>
      </c>
      <c r="E6" s="12">
        <v>1058</v>
      </c>
      <c r="F6" s="12">
        <v>47</v>
      </c>
      <c r="G6" s="12">
        <v>-21</v>
      </c>
      <c r="H6" s="29"/>
      <c r="I6" s="49" t="str">
        <f>HYPERLINK("#'Gráficos-Graphics '!A1","Gráficos-Graphics ")</f>
        <v xml:space="preserve">Gráficos-Graphics </v>
      </c>
      <c r="J6" s="29"/>
    </row>
    <row r="7" spans="1:10">
      <c r="A7" s="13" t="s">
        <v>13</v>
      </c>
      <c r="B7" s="11">
        <v>931</v>
      </c>
      <c r="C7" s="11">
        <v>1145</v>
      </c>
      <c r="D7" s="12">
        <v>568</v>
      </c>
      <c r="E7" s="12">
        <v>834</v>
      </c>
      <c r="F7" s="12">
        <v>266</v>
      </c>
      <c r="G7" s="12">
        <v>-13</v>
      </c>
      <c r="H7" s="29"/>
      <c r="I7" s="29"/>
      <c r="J7" s="29"/>
    </row>
    <row r="8" spans="1:10">
      <c r="A8" s="13" t="s">
        <v>14</v>
      </c>
      <c r="B8" s="11">
        <v>16700</v>
      </c>
      <c r="C8" s="11">
        <v>6100</v>
      </c>
      <c r="D8" s="12">
        <v>2650</v>
      </c>
      <c r="E8" s="12">
        <v>2732</v>
      </c>
      <c r="F8" s="12">
        <v>82</v>
      </c>
      <c r="G8" s="12">
        <v>155</v>
      </c>
    </row>
    <row r="9" spans="1:10">
      <c r="A9" s="13" t="s">
        <v>15</v>
      </c>
      <c r="B9" s="11">
        <v>7547</v>
      </c>
      <c r="C9" s="11">
        <v>2641</v>
      </c>
      <c r="D9" s="12">
        <v>0</v>
      </c>
      <c r="E9" s="12">
        <v>2966</v>
      </c>
      <c r="F9" s="12">
        <v>2966</v>
      </c>
      <c r="G9" s="12">
        <v>198</v>
      </c>
    </row>
    <row r="10" spans="1:10">
      <c r="A10" s="13" t="s">
        <v>16</v>
      </c>
      <c r="B10" s="11">
        <v>776</v>
      </c>
      <c r="C10" s="11">
        <v>870</v>
      </c>
      <c r="D10" s="12">
        <v>731</v>
      </c>
      <c r="E10" s="12">
        <v>892</v>
      </c>
      <c r="F10" s="12">
        <v>161</v>
      </c>
      <c r="G10" s="12">
        <v>-13</v>
      </c>
    </row>
    <row r="11" spans="1:10">
      <c r="A11" s="13" t="s">
        <v>17</v>
      </c>
      <c r="B11" s="11">
        <v>2489</v>
      </c>
      <c r="C11" s="11">
        <v>3099</v>
      </c>
      <c r="D11" s="12">
        <v>831</v>
      </c>
      <c r="E11" s="12">
        <v>837</v>
      </c>
      <c r="F11" s="12">
        <v>6</v>
      </c>
      <c r="G11" s="12">
        <v>55</v>
      </c>
    </row>
    <row r="12" spans="1:10">
      <c r="A12" s="13" t="s">
        <v>18</v>
      </c>
      <c r="B12" s="11">
        <v>4494</v>
      </c>
      <c r="C12" s="11">
        <v>1036</v>
      </c>
      <c r="D12" s="12">
        <v>4337</v>
      </c>
      <c r="E12" s="12">
        <v>4339</v>
      </c>
      <c r="F12" s="12">
        <v>2</v>
      </c>
      <c r="G12" s="12">
        <v>-22</v>
      </c>
    </row>
    <row r="13" spans="1:10">
      <c r="A13" s="13" t="s">
        <v>19</v>
      </c>
      <c r="B13" s="11">
        <v>931</v>
      </c>
      <c r="C13" s="11">
        <v>1551</v>
      </c>
      <c r="D13" s="12">
        <v>306</v>
      </c>
      <c r="E13" s="12">
        <v>600</v>
      </c>
      <c r="F13" s="12">
        <v>294</v>
      </c>
      <c r="G13" s="12">
        <v>4</v>
      </c>
    </row>
    <row r="14" spans="1:10">
      <c r="A14" s="13" t="s">
        <v>20</v>
      </c>
      <c r="B14" s="11">
        <v>8641</v>
      </c>
      <c r="C14" s="11">
        <v>1317</v>
      </c>
      <c r="D14" s="12">
        <v>6185</v>
      </c>
      <c r="E14" s="12">
        <v>6560</v>
      </c>
      <c r="F14" s="12">
        <v>375</v>
      </c>
      <c r="G14" s="12">
        <v>205</v>
      </c>
    </row>
    <row r="15" spans="1:10">
      <c r="A15" s="13" t="s">
        <v>21</v>
      </c>
      <c r="B15" s="11">
        <v>10416</v>
      </c>
      <c r="C15" s="11">
        <v>1127</v>
      </c>
      <c r="D15" s="12">
        <v>9244</v>
      </c>
      <c r="E15" s="12">
        <v>9244</v>
      </c>
      <c r="F15" s="12">
        <v>0</v>
      </c>
      <c r="G15" s="12">
        <v>161</v>
      </c>
    </row>
    <row r="16" spans="1:10">
      <c r="A16" s="13" t="s">
        <v>22</v>
      </c>
      <c r="B16" s="11">
        <v>973</v>
      </c>
      <c r="C16" s="11">
        <v>2000</v>
      </c>
      <c r="D16" s="12">
        <v>292</v>
      </c>
      <c r="E16" s="12">
        <v>481</v>
      </c>
      <c r="F16" s="12">
        <v>189</v>
      </c>
      <c r="G16" s="12">
        <v>1</v>
      </c>
    </row>
    <row r="17" spans="1:7">
      <c r="A17" s="13" t="s">
        <v>23</v>
      </c>
      <c r="B17" s="11">
        <v>1044</v>
      </c>
      <c r="C17" s="11">
        <v>909</v>
      </c>
      <c r="D17" s="12">
        <v>1101</v>
      </c>
      <c r="E17" s="12">
        <v>1140</v>
      </c>
      <c r="F17" s="12">
        <v>39</v>
      </c>
      <c r="G17" s="12">
        <v>9</v>
      </c>
    </row>
    <row r="18" spans="1:7">
      <c r="A18" s="13" t="s">
        <v>24</v>
      </c>
      <c r="B18" s="11">
        <v>2093</v>
      </c>
      <c r="C18" s="11">
        <v>3172</v>
      </c>
      <c r="D18" s="12">
        <v>911</v>
      </c>
      <c r="E18" s="12">
        <v>1390</v>
      </c>
      <c r="F18" s="12">
        <v>479</v>
      </c>
      <c r="G18" s="12">
        <v>8</v>
      </c>
    </row>
    <row r="19" spans="1:7">
      <c r="A19" s="13" t="s">
        <v>25</v>
      </c>
      <c r="B19" s="11">
        <v>759</v>
      </c>
      <c r="C19" s="11">
        <v>1842</v>
      </c>
      <c r="D19" s="12">
        <v>391</v>
      </c>
      <c r="E19" s="12">
        <v>420</v>
      </c>
      <c r="F19" s="12">
        <v>29</v>
      </c>
      <c r="G19" s="12">
        <v>32</v>
      </c>
    </row>
    <row r="20" spans="1:7">
      <c r="A20" s="13" t="s">
        <v>26</v>
      </c>
      <c r="B20" s="11">
        <v>2100</v>
      </c>
      <c r="C20" s="11">
        <v>1117</v>
      </c>
      <c r="D20" s="12">
        <v>1536</v>
      </c>
      <c r="E20" s="12">
        <v>1734</v>
      </c>
      <c r="F20" s="12">
        <v>198</v>
      </c>
      <c r="G20" s="12">
        <v>-32</v>
      </c>
    </row>
    <row r="21" spans="1:7">
      <c r="A21" s="13" t="s">
        <v>27</v>
      </c>
      <c r="B21" s="11">
        <v>1175</v>
      </c>
      <c r="C21" s="11">
        <v>3200</v>
      </c>
      <c r="D21" s="12">
        <v>0</v>
      </c>
      <c r="E21" s="12">
        <v>370</v>
      </c>
      <c r="F21" s="12">
        <v>370</v>
      </c>
      <c r="G21" s="12">
        <v>5</v>
      </c>
    </row>
    <row r="22" spans="1:7">
      <c r="A22" s="13" t="s">
        <v>28</v>
      </c>
      <c r="B22" s="11">
        <v>4077</v>
      </c>
      <c r="C22" s="11">
        <v>1843</v>
      </c>
      <c r="D22" s="12">
        <v>2055</v>
      </c>
      <c r="E22" s="12">
        <v>2218</v>
      </c>
      <c r="F22" s="12">
        <v>163</v>
      </c>
      <c r="G22" s="12">
        <v>-23</v>
      </c>
    </row>
    <row r="23" spans="1:7">
      <c r="A23" s="13" t="s">
        <v>29</v>
      </c>
      <c r="B23" s="11">
        <v>2203</v>
      </c>
      <c r="C23" s="11">
        <v>1145</v>
      </c>
      <c r="D23" s="12">
        <v>2087</v>
      </c>
      <c r="E23" s="12">
        <v>2100</v>
      </c>
      <c r="F23" s="12">
        <v>13</v>
      </c>
      <c r="G23" s="12">
        <v>246</v>
      </c>
    </row>
    <row r="24" spans="1:7">
      <c r="A24" s="13" t="s">
        <v>30</v>
      </c>
      <c r="B24" s="11">
        <v>2301</v>
      </c>
      <c r="C24" s="11">
        <v>866</v>
      </c>
      <c r="D24" s="12">
        <v>2616</v>
      </c>
      <c r="E24" s="12">
        <v>2657</v>
      </c>
      <c r="F24" s="12">
        <v>41</v>
      </c>
      <c r="G24" s="12">
        <v>48</v>
      </c>
    </row>
    <row r="25" spans="1:7">
      <c r="A25" s="13" t="s">
        <v>31</v>
      </c>
      <c r="B25" s="11">
        <v>5100</v>
      </c>
      <c r="C25" s="11">
        <v>1408</v>
      </c>
      <c r="D25" s="12">
        <v>3906</v>
      </c>
      <c r="E25" s="12">
        <v>3953</v>
      </c>
      <c r="F25" s="12">
        <v>47</v>
      </c>
      <c r="G25" s="12">
        <v>10</v>
      </c>
    </row>
    <row r="26" spans="1:7">
      <c r="A26" s="13" t="s">
        <v>32</v>
      </c>
      <c r="B26" s="11">
        <v>996</v>
      </c>
      <c r="C26" s="11">
        <v>4000</v>
      </c>
      <c r="D26" s="12">
        <v>51</v>
      </c>
      <c r="E26" s="12">
        <v>358</v>
      </c>
      <c r="F26" s="12">
        <v>307</v>
      </c>
      <c r="G26" s="12">
        <v>6</v>
      </c>
    </row>
    <row r="27" spans="1:7">
      <c r="A27" s="13" t="s">
        <v>33</v>
      </c>
      <c r="B27" s="11">
        <v>4185</v>
      </c>
      <c r="C27" s="11">
        <v>1000</v>
      </c>
      <c r="D27" s="12">
        <v>3601</v>
      </c>
      <c r="E27" s="12">
        <v>4181</v>
      </c>
      <c r="F27" s="12">
        <v>580</v>
      </c>
      <c r="G27" s="12">
        <v>-28</v>
      </c>
    </row>
    <row r="28" spans="1:7">
      <c r="A28" s="13" t="s">
        <v>34</v>
      </c>
      <c r="B28" s="11">
        <v>899</v>
      </c>
      <c r="C28" s="11">
        <v>934</v>
      </c>
      <c r="D28" s="12">
        <v>957</v>
      </c>
      <c r="E28" s="12">
        <v>1002</v>
      </c>
      <c r="F28" s="12">
        <v>45</v>
      </c>
      <c r="G28" s="12">
        <v>48</v>
      </c>
    </row>
    <row r="29" spans="1:7">
      <c r="A29" s="13" t="s">
        <v>35</v>
      </c>
      <c r="B29" s="11">
        <v>869</v>
      </c>
      <c r="C29" s="11">
        <v>1866</v>
      </c>
      <c r="D29" s="12">
        <v>472</v>
      </c>
      <c r="E29" s="12">
        <v>505</v>
      </c>
      <c r="F29" s="12">
        <v>33</v>
      </c>
      <c r="G29" s="12">
        <v>24</v>
      </c>
    </row>
    <row r="30" spans="1:7">
      <c r="A30" s="13" t="s">
        <v>36</v>
      </c>
      <c r="B30" s="11">
        <v>45960</v>
      </c>
      <c r="C30" s="11">
        <v>3420</v>
      </c>
      <c r="D30" s="12">
        <v>12775</v>
      </c>
      <c r="E30" s="12">
        <v>13438</v>
      </c>
      <c r="F30" s="12">
        <v>663</v>
      </c>
      <c r="G30" s="12">
        <v>244</v>
      </c>
    </row>
    <row r="31" spans="1:7">
      <c r="A31" s="13" t="s">
        <v>37</v>
      </c>
      <c r="B31" s="11">
        <v>661</v>
      </c>
      <c r="C31" s="11">
        <v>1073</v>
      </c>
      <c r="D31" s="12">
        <v>658</v>
      </c>
      <c r="E31" s="12">
        <v>659</v>
      </c>
      <c r="F31" s="12">
        <v>1</v>
      </c>
      <c r="G31" s="12">
        <v>-22</v>
      </c>
    </row>
    <row r="32" spans="1:7">
      <c r="A32" s="13" t="s">
        <v>38</v>
      </c>
      <c r="B32" s="11">
        <v>4452</v>
      </c>
      <c r="C32" s="11">
        <v>2173</v>
      </c>
      <c r="D32" s="12">
        <v>147</v>
      </c>
      <c r="E32" s="12">
        <v>2334</v>
      </c>
      <c r="F32" s="12">
        <v>2187</v>
      </c>
      <c r="G32" s="12">
        <v>150</v>
      </c>
    </row>
    <row r="33" spans="1:7">
      <c r="A33" s="13" t="s">
        <v>39</v>
      </c>
      <c r="B33" s="11">
        <v>5650</v>
      </c>
      <c r="C33" s="11">
        <v>2700</v>
      </c>
      <c r="D33" s="12">
        <v>1130</v>
      </c>
      <c r="E33" s="12">
        <v>2080</v>
      </c>
      <c r="F33" s="12">
        <v>950</v>
      </c>
      <c r="G33" s="12">
        <v>-25</v>
      </c>
    </row>
    <row r="34" spans="1:7">
      <c r="A34" s="13" t="s">
        <v>40</v>
      </c>
      <c r="B34" s="11">
        <v>3486</v>
      </c>
      <c r="C34" s="11">
        <v>1147</v>
      </c>
      <c r="D34" s="12">
        <v>2564</v>
      </c>
      <c r="E34" s="12">
        <v>3164</v>
      </c>
      <c r="F34" s="12">
        <v>600</v>
      </c>
      <c r="G34" s="12">
        <v>30</v>
      </c>
    </row>
    <row r="35" spans="1:7">
      <c r="A35" s="13" t="s">
        <v>41</v>
      </c>
      <c r="B35" s="11">
        <v>809</v>
      </c>
      <c r="C35" s="11">
        <v>643</v>
      </c>
      <c r="D35" s="12">
        <v>1213</v>
      </c>
      <c r="E35" s="12">
        <v>1240</v>
      </c>
      <c r="F35" s="12">
        <v>27</v>
      </c>
      <c r="G35" s="12">
        <v>-53</v>
      </c>
    </row>
    <row r="36" spans="1:7">
      <c r="A36" s="13" t="s">
        <v>42</v>
      </c>
      <c r="B36" s="11">
        <v>5500</v>
      </c>
      <c r="C36" s="11">
        <v>1022</v>
      </c>
      <c r="D36" s="12">
        <v>6526</v>
      </c>
      <c r="E36" s="12">
        <v>6548</v>
      </c>
      <c r="F36" s="12">
        <v>22</v>
      </c>
      <c r="G36" s="12">
        <v>-13</v>
      </c>
    </row>
    <row r="37" spans="1:7">
      <c r="A37" s="13" t="s">
        <v>43</v>
      </c>
      <c r="B37" s="11">
        <v>4775</v>
      </c>
      <c r="C37" s="11">
        <v>1867</v>
      </c>
      <c r="D37" s="12">
        <v>2716</v>
      </c>
      <c r="E37" s="12">
        <v>2754</v>
      </c>
      <c r="F37" s="12">
        <v>41</v>
      </c>
      <c r="G37" s="12">
        <v>146</v>
      </c>
    </row>
    <row r="38" spans="1:7">
      <c r="A38" s="13" t="s">
        <v>44</v>
      </c>
      <c r="B38" s="11">
        <v>835</v>
      </c>
      <c r="C38" s="11">
        <v>1006</v>
      </c>
      <c r="D38" s="12">
        <v>406</v>
      </c>
      <c r="E38" s="12">
        <v>739</v>
      </c>
      <c r="F38" s="12">
        <v>333</v>
      </c>
      <c r="G38" s="12">
        <v>2</v>
      </c>
    </row>
    <row r="39" spans="1:7">
      <c r="A39" s="13" t="s">
        <v>45</v>
      </c>
      <c r="B39" s="11">
        <v>2377</v>
      </c>
      <c r="C39" s="11">
        <v>4893</v>
      </c>
      <c r="D39" s="12">
        <v>23</v>
      </c>
      <c r="E39" s="12">
        <v>567</v>
      </c>
      <c r="F39" s="12">
        <v>544</v>
      </c>
      <c r="G39" s="12">
        <v>58</v>
      </c>
    </row>
    <row r="40" spans="1:7">
      <c r="A40" s="13" t="s">
        <v>46</v>
      </c>
      <c r="B40" s="11">
        <v>777</v>
      </c>
      <c r="C40" s="11">
        <v>3679</v>
      </c>
      <c r="D40" s="12">
        <v>25</v>
      </c>
      <c r="E40" s="12">
        <v>243</v>
      </c>
      <c r="F40" s="12">
        <v>218</v>
      </c>
      <c r="G40" s="12">
        <v>38</v>
      </c>
    </row>
    <row r="41" spans="1:7">
      <c r="A41" s="13" t="s">
        <v>47</v>
      </c>
      <c r="B41" s="11">
        <v>5835</v>
      </c>
      <c r="C41" s="11">
        <v>1643</v>
      </c>
      <c r="D41" s="12">
        <v>3232</v>
      </c>
      <c r="E41" s="12">
        <v>3552</v>
      </c>
      <c r="F41" s="12">
        <v>320</v>
      </c>
      <c r="G41" s="12">
        <v>26</v>
      </c>
    </row>
    <row r="42" spans="1:7">
      <c r="A42" s="13" t="s">
        <v>48</v>
      </c>
      <c r="B42" s="11">
        <v>24300</v>
      </c>
      <c r="C42" s="11">
        <v>1200</v>
      </c>
      <c r="D42" s="12">
        <v>6497</v>
      </c>
      <c r="E42" s="12">
        <v>15450</v>
      </c>
      <c r="F42" s="12">
        <v>8953</v>
      </c>
      <c r="G42" s="12">
        <v>113</v>
      </c>
    </row>
    <row r="43" spans="1:7">
      <c r="A43" s="13" t="s">
        <v>49</v>
      </c>
      <c r="B43" s="11">
        <v>9350</v>
      </c>
      <c r="C43" s="11">
        <v>438</v>
      </c>
      <c r="D43" s="12">
        <v>21147</v>
      </c>
      <c r="E43" s="12">
        <v>21147</v>
      </c>
      <c r="F43" s="12">
        <v>0</v>
      </c>
      <c r="G43" s="12">
        <v>-1043</v>
      </c>
    </row>
    <row r="44" spans="1:7">
      <c r="A44" s="13" t="s">
        <v>50</v>
      </c>
      <c r="B44" s="11">
        <v>12600</v>
      </c>
      <c r="C44" s="11">
        <v>1823</v>
      </c>
      <c r="D44" s="12">
        <v>6540</v>
      </c>
      <c r="E44" s="12">
        <v>7002</v>
      </c>
      <c r="F44" s="12">
        <v>462</v>
      </c>
      <c r="G44" s="12">
        <v>203</v>
      </c>
    </row>
    <row r="45" spans="1:7">
      <c r="A45" s="13" t="s">
        <v>51</v>
      </c>
      <c r="B45" s="11">
        <v>687</v>
      </c>
      <c r="C45" s="11">
        <v>1200</v>
      </c>
      <c r="D45" s="12">
        <v>637</v>
      </c>
      <c r="E45" s="12">
        <v>637</v>
      </c>
      <c r="F45" s="12">
        <v>0</v>
      </c>
      <c r="G45" s="12">
        <v>4</v>
      </c>
    </row>
    <row r="46" spans="1:7">
      <c r="A46" s="13" t="s">
        <v>52</v>
      </c>
      <c r="B46" s="11">
        <v>948</v>
      </c>
      <c r="C46" s="11">
        <v>1009</v>
      </c>
      <c r="D46" s="12">
        <v>1038</v>
      </c>
      <c r="E46" s="12">
        <v>1039</v>
      </c>
      <c r="F46" s="12">
        <v>1</v>
      </c>
      <c r="G46" s="12">
        <v>125</v>
      </c>
    </row>
    <row r="47" spans="1:7">
      <c r="A47" s="13" t="s">
        <v>53</v>
      </c>
      <c r="B47" s="11">
        <v>11111</v>
      </c>
      <c r="C47" s="11">
        <v>1895</v>
      </c>
      <c r="D47" s="12">
        <v>5535</v>
      </c>
      <c r="E47" s="12">
        <v>5938</v>
      </c>
      <c r="F47" s="12">
        <v>403</v>
      </c>
      <c r="G47" s="12">
        <v>57</v>
      </c>
    </row>
    <row r="48" spans="1:7">
      <c r="A48" s="13" t="s">
        <v>54</v>
      </c>
      <c r="B48" s="11">
        <v>3089</v>
      </c>
      <c r="C48" s="11">
        <v>3640</v>
      </c>
      <c r="D48" s="12">
        <v>131</v>
      </c>
      <c r="E48" s="12">
        <v>873</v>
      </c>
      <c r="F48" s="12">
        <v>742</v>
      </c>
      <c r="G48" s="12">
        <v>29</v>
      </c>
    </row>
    <row r="49" spans="1:7">
      <c r="A49" s="13" t="s">
        <v>55</v>
      </c>
      <c r="B49" s="11">
        <v>615</v>
      </c>
      <c r="C49" s="11">
        <v>1749</v>
      </c>
      <c r="D49" s="12">
        <v>0</v>
      </c>
      <c r="E49" s="12">
        <v>349</v>
      </c>
      <c r="F49" s="12">
        <v>349</v>
      </c>
      <c r="G49" s="12">
        <v>-6</v>
      </c>
    </row>
    <row r="50" spans="1:7">
      <c r="A50" s="13" t="s">
        <v>56</v>
      </c>
      <c r="B50" s="11">
        <v>2278</v>
      </c>
      <c r="C50" s="11">
        <v>1592</v>
      </c>
      <c r="D50" s="12">
        <v>1498</v>
      </c>
      <c r="E50" s="12">
        <v>1534</v>
      </c>
      <c r="F50" s="12">
        <v>36</v>
      </c>
      <c r="G50" s="12">
        <v>175</v>
      </c>
    </row>
    <row r="51" spans="1:7">
      <c r="A51" s="13" t="s">
        <v>57</v>
      </c>
      <c r="B51" s="11">
        <v>2233</v>
      </c>
      <c r="C51" s="11">
        <v>2484</v>
      </c>
      <c r="D51" s="12">
        <v>761</v>
      </c>
      <c r="E51" s="12">
        <v>908</v>
      </c>
      <c r="F51" s="12">
        <v>147</v>
      </c>
      <c r="G51" s="12">
        <v>3</v>
      </c>
    </row>
    <row r="52" spans="1:7">
      <c r="A52" s="13" t="s">
        <v>65</v>
      </c>
      <c r="B52" s="11">
        <v>248253</v>
      </c>
      <c r="C52" s="11">
        <v>92883</v>
      </c>
      <c r="D52" s="12">
        <v>133198</v>
      </c>
      <c r="E52" s="12">
        <v>158370</v>
      </c>
      <c r="F52" s="12">
        <v>25175</v>
      </c>
      <c r="G52" s="12">
        <v>1485</v>
      </c>
    </row>
  </sheetData>
  <conditionalFormatting pivot="1" sqref="B2:G52">
    <cfRule type="cellIs" dxfId="1" priority="2" operator="greaterThan">
      <formula>0</formula>
    </cfRule>
  </conditionalFormatting>
  <conditionalFormatting pivot="1" sqref="B2:G52">
    <cfRule type="cellIs" dxfId="0" priority="1" operator="lessThanOrEqual">
      <formula>0</formula>
    </cfRule>
  </conditionalFormatting>
  <hyperlinks>
    <hyperlink ref="I2" r:id="rId2" display="Documentação - Documentation" xr:uid="{6700E6A3-A8EE-4EDD-BFC4-2D662B7D31D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1B45-7377-4985-8C4A-CCDFF3B8867D}">
  <dimension ref="A1:S54"/>
  <sheetViews>
    <sheetView showGridLines="0" workbookViewId="0">
      <selection activeCell="C15" sqref="C15"/>
    </sheetView>
  </sheetViews>
  <sheetFormatPr defaultRowHeight="15"/>
  <cols>
    <col min="1" max="1" width="16" bestFit="1" customWidth="1"/>
    <col min="2" max="2" width="19.85546875" customWidth="1"/>
    <col min="3" max="3" width="36.5703125" bestFit="1" customWidth="1"/>
    <col min="4" max="4" width="9.140625" style="29"/>
    <col min="5" max="5" width="23.85546875" customWidth="1"/>
    <col min="6" max="6" width="23.140625" customWidth="1"/>
    <col min="7" max="7" width="35.85546875" customWidth="1"/>
    <col min="8" max="8" width="9.140625" style="29"/>
    <col min="9" max="9" width="18.140625" customWidth="1"/>
    <col min="10" max="10" width="26.5703125" customWidth="1"/>
    <col min="11" max="11" width="37.140625" customWidth="1"/>
    <col min="12" max="12" width="9.140625" style="37"/>
    <col min="13" max="13" width="19.140625" style="29" customWidth="1"/>
    <col min="14" max="14" width="17.28515625" style="29" customWidth="1"/>
    <col min="15" max="15" width="35.5703125" style="29" customWidth="1"/>
    <col min="16" max="16" width="9.140625" style="29"/>
    <col min="18" max="18" width="36.85546875" customWidth="1"/>
  </cols>
  <sheetData>
    <row r="1" spans="1:19" ht="43.5">
      <c r="A1" s="53" t="s">
        <v>66</v>
      </c>
      <c r="B1" s="53"/>
      <c r="C1" s="53"/>
      <c r="E1" s="53" t="s">
        <v>67</v>
      </c>
      <c r="F1" s="53"/>
      <c r="G1" s="53"/>
      <c r="I1" s="54" t="s">
        <v>68</v>
      </c>
      <c r="J1" s="55"/>
      <c r="K1" s="56"/>
      <c r="M1" s="54" t="s">
        <v>69</v>
      </c>
      <c r="N1" s="55"/>
      <c r="O1" s="56"/>
      <c r="Q1" s="29"/>
      <c r="R1" s="48" t="s">
        <v>0</v>
      </c>
      <c r="S1" s="29"/>
    </row>
    <row r="2" spans="1:19" s="14" customFormat="1" ht="22.5" customHeight="1">
      <c r="A2" s="23" t="s">
        <v>70</v>
      </c>
      <c r="B2" s="23" t="s">
        <v>71</v>
      </c>
      <c r="C2" s="23" t="s">
        <v>72</v>
      </c>
      <c r="D2" s="30"/>
      <c r="E2" s="23" t="s">
        <v>70</v>
      </c>
      <c r="F2" s="23" t="s">
        <v>71</v>
      </c>
      <c r="G2" s="33" t="s">
        <v>73</v>
      </c>
      <c r="H2" s="51"/>
      <c r="I2" s="23" t="s">
        <v>70</v>
      </c>
      <c r="J2" s="23" t="s">
        <v>71</v>
      </c>
      <c r="K2" s="33" t="s">
        <v>74</v>
      </c>
      <c r="L2" s="38"/>
      <c r="M2" s="23" t="s">
        <v>70</v>
      </c>
      <c r="N2" s="23" t="s">
        <v>75</v>
      </c>
      <c r="O2" s="33" t="s">
        <v>76</v>
      </c>
      <c r="P2" s="51"/>
      <c r="Q2" s="29"/>
      <c r="R2" s="49" t="str">
        <f>HYPERLINK("#'Documentação-Documentation'!A1","Documentação-Documentation")</f>
        <v>Documentação-Documentation</v>
      </c>
      <c r="S2" s="29"/>
    </row>
    <row r="3" spans="1:19" s="14" customFormat="1" ht="17.25" customHeight="1">
      <c r="A3" s="15">
        <v>1</v>
      </c>
      <c r="B3" s="15" t="str">
        <f>INDEX('Top 50 Fast-Food EUA'!A:B,MATCH(' Análise-Analysis '!C3,'Top 50 Fast-Food EUA'!B:B,0),1)</f>
        <v>McDonaldâ€™s</v>
      </c>
      <c r="C3" s="16">
        <f>LARGE('Top 50 Fast-Food EUA'!B:B,' Análise-Analysis '!A3)</f>
        <v>45960</v>
      </c>
      <c r="D3" s="31"/>
      <c r="E3" s="15">
        <v>1</v>
      </c>
      <c r="F3" s="16" t="str">
        <f>INDEX('Top 50 Fast-Food EUA'!A:C,MATCH(' Análise-Analysis '!G3,'Top 50 Fast-Food EUA'!C:C,0),1)</f>
        <v>Chick-fil-A</v>
      </c>
      <c r="G3" s="16">
        <f>LARGE('Top 50 Fast-Food EUA'!C:C,' Análise-Analysis '!E3)</f>
        <v>6100</v>
      </c>
      <c r="H3" s="51"/>
      <c r="I3" s="15">
        <v>1</v>
      </c>
      <c r="J3" s="16" t="str">
        <f>INDEX('Top 50 Fast-Food EUA'!A:G,MATCH(' Análise-Analysis '!K3,'Top 50 Fast-Food EUA'!G:G,0),1)</f>
        <v>Jersey Mikeâ€™s</v>
      </c>
      <c r="K3" s="16">
        <f>LARGE('Top 50 Fast-Food EUA'!G:G,' Análise-Analysis '!I3)</f>
        <v>246</v>
      </c>
      <c r="L3" s="38"/>
      <c r="M3" s="15">
        <v>1</v>
      </c>
      <c r="N3" s="16" t="s">
        <v>4</v>
      </c>
      <c r="O3" s="16">
        <f>SUM('Top 50 Fast-Food EUA'!D:D)</f>
        <v>133198</v>
      </c>
      <c r="P3" s="51"/>
      <c r="Q3" s="29"/>
      <c r="R3" s="49" t="str">
        <f>HYPERLINK("#'Top 50 Fast-Food EUA'!A1","Top 50 Fast-Food EUA")</f>
        <v>Top 50 Fast-Food EUA</v>
      </c>
      <c r="S3" s="29"/>
    </row>
    <row r="4" spans="1:19" s="14" customFormat="1">
      <c r="A4" s="17">
        <v>2</v>
      </c>
      <c r="B4" s="17" t="str">
        <f>INDEX('Top 50 Fast-Food EUA'!A:B,MATCH(' Análise-Analysis '!C4,'Top 50 Fast-Food EUA'!B:B,0),1)</f>
        <v>Starbucks</v>
      </c>
      <c r="C4" s="18">
        <f>LARGE('Top 50 Fast-Food EUA'!B:B,' Análise-Analysis '!A4)</f>
        <v>24300</v>
      </c>
      <c r="D4" s="31"/>
      <c r="E4" s="17">
        <v>2</v>
      </c>
      <c r="F4" s="17" t="str">
        <f>INDEX('Top 50 Fast-Food EUA'!A:C,MATCH(' Análise-Analysis '!G4,'Top 50 Fast-Food EUA'!C:C,0),1)</f>
        <v>Raising Caneâ€™s</v>
      </c>
      <c r="G4" s="17">
        <f>LARGE('Top 50 Fast-Food EUA'!C:C,' Análise-Analysis '!E4)</f>
        <v>4893</v>
      </c>
      <c r="H4" s="51"/>
      <c r="I4" s="17">
        <v>2</v>
      </c>
      <c r="J4" s="17" t="str">
        <f>INDEX('Top 50 Fast-Food EUA'!A:G,MATCH(' Análise-Analysis '!K4,'Top 50 Fast-Food EUA'!G:G,0),1)</f>
        <v>McDonaldâ€™s</v>
      </c>
      <c r="K4" s="18">
        <f>LARGE('Top 50 Fast-Food EUA'!G:G,' Análise-Analysis '!I4)</f>
        <v>244</v>
      </c>
      <c r="L4" s="38"/>
      <c r="M4" s="18">
        <v>2</v>
      </c>
      <c r="N4" s="18" t="s">
        <v>77</v>
      </c>
      <c r="O4" s="18">
        <f>SUM('Top 50 Fast-Food EUA'!E:E)</f>
        <v>25175</v>
      </c>
      <c r="P4" s="51"/>
      <c r="Q4" s="29"/>
      <c r="R4" s="49" t="str">
        <f>HYPERLINK("#'Tabela Dinãmica-Pivot table'!A1","Tabela Dinâmica-Pivot table")</f>
        <v>Tabela Dinâmica-Pivot table</v>
      </c>
      <c r="S4" s="29"/>
    </row>
    <row r="5" spans="1:19" s="14" customFormat="1">
      <c r="A5" s="19">
        <v>3</v>
      </c>
      <c r="B5" s="19" t="str">
        <f>INDEX('Top 50 Fast-Food EUA'!A:B,MATCH(' Análise-Analysis '!C5,'Top 50 Fast-Food EUA'!B:B,0),1)</f>
        <v>Chick-fil-A</v>
      </c>
      <c r="C5" s="20">
        <f>LARGE('Top 50 Fast-Food EUA'!B:B,' Análise-Analysis '!A5)</f>
        <v>16700</v>
      </c>
      <c r="D5" s="31"/>
      <c r="E5" s="19">
        <v>3</v>
      </c>
      <c r="F5" s="19" t="str">
        <f>INDEX('Top 50 Fast-Food EUA'!A:C,MATCH(' Análise-Analysis '!G5,'Top 50 Fast-Food EUA'!C:C,0),1)</f>
        <v>Krispy Kreme</v>
      </c>
      <c r="G5" s="19">
        <f>LARGE('Top 50 Fast-Food EUA'!C:C,' Análise-Analysis '!E5)</f>
        <v>4000</v>
      </c>
      <c r="H5" s="51"/>
      <c r="I5" s="19">
        <v>3</v>
      </c>
      <c r="J5" s="19" t="s">
        <v>29</v>
      </c>
      <c r="K5" s="20">
        <f>LARGE('Top 50 Fast-Food EUA'!G:G,' Análise-Analysis '!I5)</f>
        <v>205</v>
      </c>
      <c r="L5" s="38"/>
      <c r="M5" s="51"/>
      <c r="N5" s="39"/>
      <c r="O5" s="40"/>
      <c r="P5" s="51"/>
      <c r="Q5" s="29"/>
      <c r="R5" s="49" t="str">
        <f>HYPERLINK("#' Análise-Analysis '!A1"," Análise-Analysis ")</f>
        <v xml:space="preserve"> Análise-Analysis </v>
      </c>
      <c r="S5" s="29"/>
    </row>
    <row r="6" spans="1:19" s="14" customFormat="1">
      <c r="A6" s="21">
        <v>4</v>
      </c>
      <c r="B6" s="21" t="str">
        <f>INDEX('Top 50 Fast-Food EUA'!A:B,MATCH(' Análise-Analysis '!C6,'Top 50 Fast-Food EUA'!B:B,0),1)</f>
        <v>Taco Bell</v>
      </c>
      <c r="C6" s="22">
        <f>LARGE('Top 50 Fast-Food EUA'!B:B,' Análise-Analysis '!A6)</f>
        <v>12600</v>
      </c>
      <c r="D6" s="31"/>
      <c r="E6" s="21">
        <v>4</v>
      </c>
      <c r="F6" s="21" t="str">
        <f>INDEX('Top 50 Fast-Food EUA'!A:C,MATCH(' Análise-Analysis '!G6,'Top 50 Fast-Food EUA'!C:C,0),1)</f>
        <v>Shake Shack</v>
      </c>
      <c r="G6" s="22">
        <f>LARGE('Top 50 Fast-Food EUA'!C:C,' Análise-Analysis '!E6)</f>
        <v>3679</v>
      </c>
      <c r="H6" s="51"/>
      <c r="I6" s="21">
        <v>4</v>
      </c>
      <c r="J6" s="21" t="str">
        <f>INDEX('Top 50 Fast-Food EUA'!A:G,MATCH(' Análise-Analysis '!K6,'Top 50 Fast-Food EUA'!G:G,0),1)</f>
        <v>Taco Bell</v>
      </c>
      <c r="K6" s="22">
        <f>LARGE('Top 50 Fast-Food EUA'!G:G,' Análise-Analysis '!I6)</f>
        <v>203</v>
      </c>
      <c r="L6" s="38"/>
      <c r="M6" s="41"/>
      <c r="N6" s="41"/>
      <c r="O6" s="42"/>
      <c r="P6" s="51"/>
      <c r="Q6" s="29"/>
      <c r="R6" s="49" t="str">
        <f>HYPERLINK("#'Gráficos-Graphics '!A1","Gráficos-Graphics ")</f>
        <v xml:space="preserve">Gráficos-Graphics </v>
      </c>
      <c r="S6" s="29"/>
    </row>
    <row r="7" spans="1:19" s="14" customFormat="1">
      <c r="A7" s="21">
        <v>5</v>
      </c>
      <c r="B7" s="21" t="str">
        <f>INDEX('Top 50 Fast-Food EUA'!A:B,MATCH(' Análise-Analysis '!C7,'Top 50 Fast-Food EUA'!B:B,0),1)</f>
        <v>Wendy's</v>
      </c>
      <c r="C7" s="22">
        <f>LARGE('Top 50 Fast-Food EUA'!B:B,' Análise-Analysis '!A7)</f>
        <v>11111</v>
      </c>
      <c r="D7" s="31"/>
      <c r="E7" s="21">
        <v>5</v>
      </c>
      <c r="F7" s="21" t="str">
        <f>INDEX('Top 50 Fast-Food EUA'!A:C,MATCH(' Análise-Analysis '!G7,'Top 50 Fast-Food EUA'!C:C,0),1)</f>
        <v>Whataburger</v>
      </c>
      <c r="G7" s="22">
        <f>LARGE('Top 50 Fast-Food EUA'!C:C,' Análise-Analysis '!E7)</f>
        <v>3640</v>
      </c>
      <c r="H7" s="51"/>
      <c r="I7" s="21">
        <v>5</v>
      </c>
      <c r="J7" s="21" t="str">
        <f>INDEX('Top 50 Fast-Food EUA'!A:G,MATCH(' Análise-Analysis '!K7,'Top 50 Fast-Food EUA'!G:G,0),1)</f>
        <v>Chipotle</v>
      </c>
      <c r="K7" s="22">
        <f>LARGE('Top 50 Fast-Food EUA'!G:G,' Análise-Analysis '!I7)</f>
        <v>198</v>
      </c>
      <c r="L7" s="38"/>
      <c r="M7" s="41"/>
      <c r="N7" s="41"/>
      <c r="O7" s="41"/>
      <c r="P7" s="51"/>
      <c r="Q7" s="29"/>
      <c r="R7" s="29"/>
      <c r="S7" s="29"/>
    </row>
    <row r="8" spans="1:19" s="14" customFormat="1">
      <c r="A8" s="21">
        <v>6</v>
      </c>
      <c r="B8" s="21" t="str">
        <f>INDEX('Top 50 Fast-Food EUA'!A:B,MATCH(' Análise-Analysis '!C8,'Top 50 Fast-Food EUA'!B:B,0),1)</f>
        <v>Dunkin'</v>
      </c>
      <c r="C8" s="22">
        <f>LARGE('Top 50 Fast-Food EUA'!B:B,' Análise-Analysis '!A8)</f>
        <v>10416</v>
      </c>
      <c r="D8" s="31"/>
      <c r="E8" s="21">
        <v>6</v>
      </c>
      <c r="F8" s="21" t="str">
        <f>INDEX('Top 50 Fast-Food EUA'!A:C,MATCH(' Análise-Analysis '!G8,'Top 50 Fast-Food EUA'!C:C,0),1)</f>
        <v>McDonaldâ€™s</v>
      </c>
      <c r="G8" s="22">
        <f>LARGE('Top 50 Fast-Food EUA'!C:C,' Análise-Analysis '!E8)</f>
        <v>3420</v>
      </c>
      <c r="H8" s="34"/>
      <c r="I8" s="21">
        <v>6</v>
      </c>
      <c r="J8" s="21" t="str">
        <f>INDEX('Top 50 Fast-Food EUA'!A:G,MATCH(' Análise-Analysis '!K8,'Top 50 Fast-Food EUA'!G:G,0),1)</f>
        <v>Wingstop</v>
      </c>
      <c r="K8" s="22">
        <f>LARGE('Top 50 Fast-Food EUA'!G:G,' Análise-Analysis '!I8)</f>
        <v>175</v>
      </c>
      <c r="L8" s="38"/>
      <c r="M8" s="41"/>
      <c r="N8" s="41"/>
      <c r="O8" s="42"/>
      <c r="P8" s="51"/>
    </row>
    <row r="9" spans="1:19" s="14" customFormat="1">
      <c r="A9" s="21">
        <v>7</v>
      </c>
      <c r="B9" s="21" t="str">
        <f>INDEX('Top 50 Fast-Food EUA'!A:B,MATCH(' Análise-Analysis '!C9,'Top 50 Fast-Food EUA'!B:B,0),1)</f>
        <v>Burger King</v>
      </c>
      <c r="C9" s="22">
        <f>LARGE('Top 50 Fast-Food EUA'!B:B,' Análise-Analysis '!A9)</f>
        <v>10033</v>
      </c>
      <c r="D9" s="31"/>
      <c r="E9" s="21">
        <v>7</v>
      </c>
      <c r="F9" s="21" t="str">
        <f>INDEX('Top 50 Fast-Food EUA'!A:C,MATCH(' Análise-Analysis '!G9,'Top 50 Fast-Food EUA'!C:C,0),1)</f>
        <v>In-N-Out Burger</v>
      </c>
      <c r="G9" s="22">
        <f>LARGE('Top 50 Fast-Food EUA'!C:C,' Análise-Analysis '!E9)</f>
        <v>3200</v>
      </c>
      <c r="H9" s="51"/>
      <c r="I9" s="21">
        <v>7</v>
      </c>
      <c r="J9" s="21" t="str">
        <f>INDEX('Top 50 Fast-Food EUA'!A:G,MATCH(' Análise-Analysis '!K9,'Top 50 Fast-Food EUA'!G:G,0),1)</f>
        <v>Dunkin'</v>
      </c>
      <c r="K9" s="22">
        <f>LARGE('Top 50 Fast-Food EUA'!G:G,' Análise-Analysis '!I9)</f>
        <v>161</v>
      </c>
      <c r="L9" s="38"/>
      <c r="M9" s="41"/>
      <c r="N9" s="41"/>
      <c r="O9" s="42"/>
      <c r="P9" s="51"/>
    </row>
    <row r="10" spans="1:19" s="14" customFormat="1">
      <c r="A10" s="21">
        <v>8</v>
      </c>
      <c r="B10" s="21" t="str">
        <f>INDEX('Top 50 Fast-Food EUA'!A:B,MATCH(' Análise-Analysis '!C10,'Top 50 Fast-Food EUA'!B:B,0),1)</f>
        <v>Subway</v>
      </c>
      <c r="C10" s="22">
        <f>LARGE('Top 50 Fast-Food EUA'!B:B,' Análise-Analysis '!A10)</f>
        <v>9350</v>
      </c>
      <c r="D10" s="31"/>
      <c r="E10" s="21">
        <v>8</v>
      </c>
      <c r="F10" s="21" t="str">
        <f>INDEX('Top 50 Fast-Food EUA'!A:C,MATCH(' Análise-Analysis '!G10,'Top 50 Fast-Food EUA'!C:C,0),1)</f>
        <v>Five Guys</v>
      </c>
      <c r="G10" s="22">
        <f>LARGE('Top 50 Fast-Food EUA'!C:C,' Análise-Analysis '!E10)</f>
        <v>3172</v>
      </c>
      <c r="H10" s="51"/>
      <c r="I10" s="21">
        <v>8</v>
      </c>
      <c r="J10" s="21" t="str">
        <f>INDEX('Top 50 Fast-Food EUA'!A:G,MATCH(' Análise-Analysis '!K10,'Top 50 Fast-Food EUA'!G:G,0),1)</f>
        <v>Chick-fil-A</v>
      </c>
      <c r="K10" s="22">
        <f>LARGE('Top 50 Fast-Food EUA'!G:G,' Análise-Analysis '!I10)</f>
        <v>155</v>
      </c>
      <c r="L10" s="38"/>
      <c r="M10" s="41"/>
      <c r="N10" s="41"/>
      <c r="O10" s="42"/>
      <c r="P10" s="51"/>
    </row>
    <row r="11" spans="1:19" s="14" customFormat="1">
      <c r="A11" s="21">
        <v>9</v>
      </c>
      <c r="B11" s="21" t="str">
        <f>INDEX('Top 50 Fast-Food EUA'!A:B,MATCH(' Análise-Analysis '!C11,'Top 50 Fast-Food EUA'!B:B,0),1)</f>
        <v>Domino's</v>
      </c>
      <c r="C11" s="22">
        <f>LARGE('Top 50 Fast-Food EUA'!B:B,' Análise-Analysis '!A11)</f>
        <v>8641</v>
      </c>
      <c r="D11" s="31"/>
      <c r="E11" s="21">
        <v>9</v>
      </c>
      <c r="F11" s="21" t="str">
        <f>INDEX('Top 50 Fast-Food EUA'!A:C,MATCH(' Análise-Analysis '!G11,'Top 50 Fast-Food EUA'!C:C,0),1)</f>
        <v>Culverâ€™s</v>
      </c>
      <c r="G11" s="22">
        <f>LARGE('Top 50 Fast-Food EUA'!C:C,' Análise-Analysis '!E11)</f>
        <v>3099</v>
      </c>
      <c r="H11" s="51"/>
      <c r="I11" s="21">
        <v>9</v>
      </c>
      <c r="J11" s="21" t="str">
        <f>INDEX('Top 50 Fast-Food EUA'!A:G,MATCH(' Análise-Analysis '!K11,'Top 50 Fast-Food EUA'!G:G,0),1)</f>
        <v>Panda Express</v>
      </c>
      <c r="K11" s="22">
        <f>LARGE('Top 50 Fast-Food EUA'!G:G,' Análise-Analysis '!I11)</f>
        <v>150</v>
      </c>
      <c r="L11" s="38"/>
      <c r="M11" s="41"/>
      <c r="N11" s="41"/>
      <c r="O11" s="42"/>
      <c r="P11" s="51"/>
    </row>
    <row r="12" spans="1:19" s="14" customFormat="1">
      <c r="A12" s="21">
        <v>10</v>
      </c>
      <c r="B12" s="21" t="str">
        <f>INDEX('Top 50 Fast-Food EUA'!A:B,MATCH(' Análise-Analysis '!C12,'Top 50 Fast-Food EUA'!B:B,0),1)</f>
        <v>Chipotle</v>
      </c>
      <c r="C12" s="22">
        <f>LARGE('Top 50 Fast-Food EUA'!B:B,' Análise-Analysis '!A12)</f>
        <v>7547</v>
      </c>
      <c r="D12" s="31"/>
      <c r="E12" s="21">
        <v>10</v>
      </c>
      <c r="F12" s="21" t="str">
        <f>INDEX('Top 50 Fast-Food EUA'!A:C,MATCH(' Análise-Analysis '!G12,'Top 50 Fast-Food EUA'!C:C,0),1)</f>
        <v>Panera Bread</v>
      </c>
      <c r="G12" s="22">
        <f>LARGE('Top 50 Fast-Food EUA'!C:C,' Análise-Analysis '!E12)</f>
        <v>2700</v>
      </c>
      <c r="H12" s="51"/>
      <c r="I12" s="21">
        <v>10</v>
      </c>
      <c r="J12" s="21" t="str">
        <f>INDEX('Top 50 Fast-Food EUA'!A:G,MATCH(' Análise-Analysis '!K12,'Top 50 Fast-Food EUA'!G:G,0),1)</f>
        <v>Popeyes Louisiana Kitchen</v>
      </c>
      <c r="K12" s="22">
        <f>LARGE('Top 50 Fast-Food EUA'!G:G,' Análise-Analysis '!I12)</f>
        <v>146</v>
      </c>
      <c r="L12" s="38"/>
      <c r="M12" s="41"/>
      <c r="N12" s="41"/>
      <c r="O12" s="42"/>
      <c r="P12" s="51"/>
    </row>
    <row r="13" spans="1:19">
      <c r="A13" s="21">
        <v>11</v>
      </c>
      <c r="B13" s="21" t="str">
        <f>INDEX('Top 50 Fast-Food EUA'!A:B,MATCH(' Análise-Analysis '!C13,'Top 50 Fast-Food EUA'!B:B,0),1)</f>
        <v>Sonic Drive-In</v>
      </c>
      <c r="C13" s="22">
        <f>LARGE('Top 50 Fast-Food EUA'!B:B,' Análise-Analysis '!A13)</f>
        <v>5835</v>
      </c>
      <c r="D13" s="31"/>
      <c r="E13" s="21">
        <v>11</v>
      </c>
      <c r="F13" s="21" t="str">
        <f>INDEX('Top 50 Fast-Food EUA'!A:C,MATCH(' Análise-Analysis '!G13,'Top 50 Fast-Food EUA'!C:C,0),1)</f>
        <v>Chipotle</v>
      </c>
      <c r="G13" s="22">
        <f>LARGE('Top 50 Fast-Food EUA'!C:C,' Análise-Analysis '!E13)</f>
        <v>2641</v>
      </c>
      <c r="I13" s="21">
        <v>11</v>
      </c>
      <c r="J13" s="21" t="str">
        <f>INDEX('Top 50 Fast-Food EUA'!A:G,MATCH(' Análise-Analysis '!K13,'Top 50 Fast-Food EUA'!G:G,0),1)</f>
        <v>Tropical Smoothie Cafe</v>
      </c>
      <c r="K13" s="22">
        <f>LARGE('Top 50 Fast-Food EUA'!G:G,' Análise-Analysis '!I13)</f>
        <v>125</v>
      </c>
      <c r="M13" s="41"/>
      <c r="N13" s="41"/>
      <c r="O13" s="42"/>
    </row>
    <row r="14" spans="1:19">
      <c r="A14" s="21">
        <v>12</v>
      </c>
      <c r="B14" s="21" t="str">
        <f>INDEX('Top 50 Fast-Food EUA'!A:B,MATCH(' Análise-Analysis '!C14,'Top 50 Fast-Food EUA'!B:B,0),1)</f>
        <v>Panera Bread</v>
      </c>
      <c r="C14" s="22">
        <f>LARGE('Top 50 Fast-Food EUA'!B:B,' Análise-Analysis '!A14)</f>
        <v>5650</v>
      </c>
      <c r="D14" s="31"/>
      <c r="E14" s="21">
        <v>12</v>
      </c>
      <c r="F14" s="21" t="str">
        <f>INDEX('Top 50 Fast-Food EUA'!A:C,MATCH(' Análise-Analysis '!G14,'Top 50 Fast-Food EUA'!C:C,0),1)</f>
        <v>Zaxbyâ€™s</v>
      </c>
      <c r="G14" s="22">
        <f>LARGE('Top 50 Fast-Food EUA'!C:C,' Análise-Analysis '!E14)</f>
        <v>2484</v>
      </c>
      <c r="I14" s="21">
        <v>12</v>
      </c>
      <c r="J14" s="21" t="str">
        <f>INDEX('Top 50 Fast-Food EUA'!A:G,MATCH(' Análise-Analysis '!K14,'Top 50 Fast-Food EUA'!G:G,0),1)</f>
        <v>Starbucks</v>
      </c>
      <c r="K14" s="22">
        <f>LARGE('Top 50 Fast-Food EUA'!G:G,' Análise-Analysis '!I14)</f>
        <v>113</v>
      </c>
      <c r="M14" s="41"/>
      <c r="N14" s="41"/>
      <c r="O14" s="42"/>
    </row>
    <row r="15" spans="1:19">
      <c r="A15" s="21">
        <v>13</v>
      </c>
      <c r="B15" s="21" t="str">
        <f>INDEX('Top 50 Fast-Food EUA'!A:B,MATCH(' Análise-Analysis '!C15,'Top 50 Fast-Food EUA'!B:B,0),1)</f>
        <v>Pizza Hut</v>
      </c>
      <c r="C15" s="22">
        <f>LARGE('Top 50 Fast-Food EUA'!B:B,' Análise-Analysis '!A15)</f>
        <v>5500</v>
      </c>
      <c r="D15" s="31"/>
      <c r="E15" s="21">
        <v>13</v>
      </c>
      <c r="F15" s="21" t="str">
        <f>INDEX('Top 50 Fast-Food EUA'!A:C,MATCH(' Análise-Analysis '!G15,'Top 50 Fast-Food EUA'!C:C,0),1)</f>
        <v>Panda Express</v>
      </c>
      <c r="G15" s="22">
        <f>LARGE('Top 50 Fast-Food EUA'!C:C,' Análise-Analysis '!E15)</f>
        <v>2173</v>
      </c>
      <c r="I15" s="21">
        <v>13</v>
      </c>
      <c r="J15" s="21" t="str">
        <f>INDEX('Top 50 Fast-Food EUA'!A:G,MATCH(' Análise-Analysis '!K15,'Top 50 Fast-Food EUA'!G:G,0),1)</f>
        <v>Baskin-Robbins</v>
      </c>
      <c r="K15" s="22">
        <f>LARGE('Top 50 Fast-Food EUA'!G:G,' Análise-Analysis '!I15)</f>
        <v>102</v>
      </c>
      <c r="M15" s="41"/>
      <c r="N15" s="41"/>
      <c r="O15" s="42"/>
    </row>
    <row r="16" spans="1:19">
      <c r="A16" s="21">
        <v>14</v>
      </c>
      <c r="B16" s="21" t="str">
        <f>INDEX('Top 50 Fast-Food EUA'!A:B,MATCH(' Análise-Analysis '!C16,'Top 50 Fast-Food EUA'!B:B,0),1)</f>
        <v>KFC</v>
      </c>
      <c r="C16" s="22">
        <f>LARGE('Top 50 Fast-Food EUA'!B:B,' Análise-Analysis '!A16)</f>
        <v>5100</v>
      </c>
      <c r="D16" s="31"/>
      <c r="E16" s="21">
        <v>14</v>
      </c>
      <c r="F16" s="21" t="str">
        <f>INDEX('Top 50 Fast-Food EUA'!A:C,MATCH(' Análise-Analysis '!G16,'Top 50 Fast-Food EUA'!C:C,0),1)</f>
        <v>El Pollo Loco</v>
      </c>
      <c r="G16" s="22">
        <f>LARGE('Top 50 Fast-Food EUA'!C:C,' Análise-Analysis '!E16)</f>
        <v>2000</v>
      </c>
      <c r="I16" s="21">
        <v>14</v>
      </c>
      <c r="J16" s="21" t="str">
        <f>INDEX('Top 50 Fast-Food EUA'!A:G,MATCH(' Análise-Analysis '!K16,'Top 50 Fast-Food EUA'!G:G,0),1)</f>
        <v>Raising Caneâ€™s</v>
      </c>
      <c r="K16" s="22">
        <f>LARGE('Top 50 Fast-Food EUA'!G:G,' Análise-Analysis '!I16)</f>
        <v>58</v>
      </c>
      <c r="M16" s="41"/>
      <c r="N16" s="41"/>
      <c r="O16" s="42"/>
    </row>
    <row r="17" spans="1:15">
      <c r="A17" s="21">
        <v>15</v>
      </c>
      <c r="B17" s="21" t="str">
        <f>INDEX('Top 50 Fast-Food EUA'!A:B,MATCH(' Análise-Analysis '!C17,'Top 50 Fast-Food EUA'!B:B,0),1)</f>
        <v>Popeyes Louisiana Kitchen</v>
      </c>
      <c r="C17" s="22">
        <f>LARGE('Top 50 Fast-Food EUA'!B:B,' Análise-Analysis '!A17)</f>
        <v>4775</v>
      </c>
      <c r="D17" s="31"/>
      <c r="E17" s="21">
        <v>15</v>
      </c>
      <c r="F17" s="21" t="str">
        <f>INDEX('Top 50 Fast-Food EUA'!A:C,MATCH(' Análise-Analysis '!G17,'Top 50 Fast-Food EUA'!C:C,0),1)</f>
        <v>Bojangles</v>
      </c>
      <c r="G17" s="22">
        <f>LARGE('Top 50 Fast-Food EUA'!C:C,' Análise-Analysis '!E17)</f>
        <v>1924</v>
      </c>
      <c r="I17" s="21">
        <v>15</v>
      </c>
      <c r="J17" s="21" t="str">
        <f>INDEX('Top 50 Fast-Food EUA'!A:G,MATCH(' Análise-Analysis '!K17,'Top 50 Fast-Food EUA'!G:G,0),1)</f>
        <v>Wendy's</v>
      </c>
      <c r="K17" s="22">
        <f>LARGE('Top 50 Fast-Food EUA'!G:G,' Análise-Analysis '!I17)</f>
        <v>57</v>
      </c>
      <c r="M17" s="41"/>
      <c r="N17" s="41"/>
      <c r="O17" s="42"/>
    </row>
    <row r="18" spans="1:15">
      <c r="A18" s="21">
        <v>16</v>
      </c>
      <c r="B18" s="21" t="str">
        <f>INDEX('Top 50 Fast-Food EUA'!A:B,MATCH(' Análise-Analysis '!C18,'Top 50 Fast-Food EUA'!B:B,0),1)</f>
        <v>Dairy Queen</v>
      </c>
      <c r="C18" s="22">
        <f>LARGE('Top 50 Fast-Food EUA'!B:B,' Análise-Analysis '!A18)</f>
        <v>4494</v>
      </c>
      <c r="D18" s="31"/>
      <c r="E18" s="21">
        <v>16</v>
      </c>
      <c r="F18" s="21" t="str">
        <f>INDEX('Top 50 Fast-Food EUA'!A:C,MATCH(' Análise-Analysis '!G18,'Top 50 Fast-Food EUA'!C:C,0),1)</f>
        <v>Wendy's</v>
      </c>
      <c r="G18" s="22">
        <f>LARGE('Top 50 Fast-Food EUA'!C:C,' Análise-Analysis '!E18)</f>
        <v>1895</v>
      </c>
      <c r="I18" s="21">
        <v>16</v>
      </c>
      <c r="J18" s="21" t="str">
        <f>INDEX('Top 50 Fast-Food EUA'!A:G,MATCH(' Análise-Analysis '!K18,'Top 50 Fast-Food EUA'!G:G,0),1)</f>
        <v>Culverâ€™s</v>
      </c>
      <c r="K18" s="22">
        <f>LARGE('Top 50 Fast-Food EUA'!G:G,' Análise-Analysis '!I18)</f>
        <v>55</v>
      </c>
      <c r="M18" s="41"/>
      <c r="N18" s="41"/>
      <c r="O18" s="42"/>
    </row>
    <row r="19" spans="1:15">
      <c r="A19" s="21">
        <v>17</v>
      </c>
      <c r="B19" s="21" t="str">
        <f>INDEX('Top 50 Fast-Food EUA'!A:B,MATCH(' Análise-Analysis '!C19,'Top 50 Fast-Food EUA'!B:B,0),1)</f>
        <v>Arbyâ€™s</v>
      </c>
      <c r="C19" s="22">
        <f>LARGE('Top 50 Fast-Food EUA'!B:B,' Análise-Analysis '!A19)</f>
        <v>4462</v>
      </c>
      <c r="D19" s="31"/>
      <c r="E19" s="21">
        <v>17</v>
      </c>
      <c r="F19" s="21" t="str">
        <f>INDEX('Top 50 Fast-Food EUA'!A:C,MATCH(' Análise-Analysis '!G19,'Top 50 Fast-Food EUA'!C:C,0),1)</f>
        <v>Popeyes Louisiana Kitchen</v>
      </c>
      <c r="G19" s="22">
        <f>LARGE('Top 50 Fast-Food EUA'!C:C,' Análise-Analysis '!E19)</f>
        <v>1867</v>
      </c>
      <c r="I19" s="21">
        <v>17</v>
      </c>
      <c r="J19" s="21" t="str">
        <f>INDEX('Top 50 Fast-Food EUA'!A:G,MATCH(' Análise-Analysis '!K19,'Top 50 Fast-Food EUA'!G:G,0),1)</f>
        <v>Jimmy Johnâ€™s</v>
      </c>
      <c r="K19" s="22">
        <f>LARGE('Top 50 Fast-Food EUA'!G:G,' Análise-Analysis '!I19)</f>
        <v>48</v>
      </c>
      <c r="M19" s="41"/>
      <c r="N19" s="41"/>
      <c r="O19" s="42"/>
    </row>
    <row r="20" spans="1:15">
      <c r="A20" s="21">
        <v>18</v>
      </c>
      <c r="B20" s="21" t="str">
        <f>INDEX('Top 50 Fast-Food EUA'!A:B,MATCH(' Análise-Analysis '!C20,'Top 50 Fast-Food EUA'!B:B,0),1)</f>
        <v>Panda Express</v>
      </c>
      <c r="C20" s="22">
        <f>LARGE('Top 50 Fast-Food EUA'!B:B,' Análise-Analysis '!A20)</f>
        <v>4452</v>
      </c>
      <c r="D20" s="31"/>
      <c r="E20" s="21">
        <v>18</v>
      </c>
      <c r="F20" s="21" t="str">
        <f>INDEX('Top 50 Fast-Food EUA'!A:C,MATCH(' Análise-Analysis '!G20,'Top 50 Fast-Food EUA'!C:C,0),1)</f>
        <v>McAlisterâ€™s Deli</v>
      </c>
      <c r="G20" s="22">
        <f>LARGE('Top 50 Fast-Food EUA'!C:C,' Análise-Analysis '!E20)</f>
        <v>1866</v>
      </c>
      <c r="I20" s="21">
        <v>18</v>
      </c>
      <c r="J20" s="21" t="str">
        <f>INDEX('Top 50 Fast-Food EUA'!A:G,MATCH(' Análise-Analysis '!K20,'Top 50 Fast-Food EUA'!G:G,0),1)</f>
        <v>Jimmy Johnâ€™s</v>
      </c>
      <c r="K20" s="22">
        <f>LARGE('Top 50 Fast-Food EUA'!G:G,' Análise-Analysis '!I20)</f>
        <v>48</v>
      </c>
      <c r="M20" s="41"/>
      <c r="N20" s="41"/>
      <c r="O20" s="42"/>
    </row>
    <row r="21" spans="1:15">
      <c r="A21" s="21">
        <v>19</v>
      </c>
      <c r="B21" s="21" t="str">
        <f>INDEX('Top 50 Fast-Food EUA'!A:B,MATCH(' Análise-Analysis '!C21,'Top 50 Fast-Food EUA'!B:B,0),1)</f>
        <v>Little Caesars</v>
      </c>
      <c r="C21" s="22">
        <f>LARGE('Top 50 Fast-Food EUA'!B:B,' Análise-Analysis '!A21)</f>
        <v>4185</v>
      </c>
      <c r="D21" s="31"/>
      <c r="E21" s="21">
        <v>19</v>
      </c>
      <c r="F21" s="21" t="str">
        <f>INDEX('Top 50 Fast-Food EUA'!A:C,MATCH(' Análise-Analysis '!G21,'Top 50 Fast-Food EUA'!C:C,0),1)</f>
        <v>Jack in the Box</v>
      </c>
      <c r="G21" s="22">
        <f>LARGE('Top 50 Fast-Food EUA'!C:C,' Análise-Analysis '!E21)</f>
        <v>1843</v>
      </c>
      <c r="I21" s="21">
        <v>19</v>
      </c>
      <c r="J21" s="21" t="str">
        <f>INDEX('Top 50 Fast-Food EUA'!A:G,MATCH(' Análise-Analysis '!K21,'Top 50 Fast-Food EUA'!G:G,0),1)</f>
        <v>Arbyâ€™s</v>
      </c>
      <c r="K21" s="22">
        <f>LARGE('Top 50 Fast-Food EUA'!G:G,' Análise-Analysis '!I21)</f>
        <v>40</v>
      </c>
      <c r="M21" s="41"/>
      <c r="N21" s="41"/>
      <c r="O21" s="42"/>
    </row>
    <row r="22" spans="1:15">
      <c r="A22" s="21">
        <v>20</v>
      </c>
      <c r="B22" s="21" t="str">
        <f>INDEX('Top 50 Fast-Food EUA'!A:B,MATCH(' Análise-Analysis '!C22,'Top 50 Fast-Food EUA'!B:B,0),1)</f>
        <v>Jack in the Box</v>
      </c>
      <c r="C22" s="22">
        <f>LARGE('Top 50 Fast-Food EUA'!B:B,' Análise-Analysis '!A22)</f>
        <v>4077</v>
      </c>
      <c r="D22" s="31"/>
      <c r="E22" s="21">
        <v>20</v>
      </c>
      <c r="F22" s="21" t="str">
        <f>INDEX('Top 50 Fast-Food EUA'!A:C,MATCH(' Análise-Analysis '!G22,'Top 50 Fast-Food EUA'!C:C,0),1)</f>
        <v>Freddyâ€™s Frozen Custard &amp; Steakburgers</v>
      </c>
      <c r="G22" s="22">
        <f>LARGE('Top 50 Fast-Food EUA'!C:C,' Análise-Analysis '!E22)</f>
        <v>1842</v>
      </c>
      <c r="I22" s="21">
        <v>20</v>
      </c>
      <c r="J22" s="21" t="str">
        <f>INDEX('Top 50 Fast-Food EUA'!A:G,MATCH(' Análise-Analysis '!K22,'Top 50 Fast-Food EUA'!G:G,0),1)</f>
        <v>Shake Shack</v>
      </c>
      <c r="K22" s="22">
        <f>LARGE('Top 50 Fast-Food EUA'!G:G,' Análise-Analysis '!I22)</f>
        <v>38</v>
      </c>
      <c r="M22" s="41"/>
      <c r="N22" s="41"/>
      <c r="O22" s="42"/>
    </row>
    <row r="23" spans="1:15">
      <c r="A23" s="21">
        <v>21</v>
      </c>
      <c r="B23" s="21" t="str">
        <f>INDEX('Top 50 Fast-Food EUA'!A:B,MATCH(' Análise-Analysis '!C23,'Top 50 Fast-Food EUA'!B:B,0),1)</f>
        <v>Papa Johns</v>
      </c>
      <c r="C23" s="22">
        <f>LARGE('Top 50 Fast-Food EUA'!B:B,' Análise-Analysis '!A23)</f>
        <v>3486</v>
      </c>
      <c r="D23" s="31"/>
      <c r="E23" s="21">
        <v>21</v>
      </c>
      <c r="F23" s="21" t="str">
        <f>INDEX('Top 50 Fast-Food EUA'!A:C,MATCH(' Análise-Analysis '!G23,'Top 50 Fast-Food EUA'!C:C,0),1)</f>
        <v>Taco Bell</v>
      </c>
      <c r="G23" s="22">
        <f>LARGE('Top 50 Fast-Food EUA'!C:C,' Análise-Analysis '!E23)</f>
        <v>1823</v>
      </c>
      <c r="I23" s="21">
        <v>21</v>
      </c>
      <c r="J23" s="21" t="str">
        <f>INDEX('Top 50 Fast-Food EUA'!A:G,MATCH(' Análise-Analysis '!K23,'Top 50 Fast-Food EUA'!G:G,0),1)</f>
        <v>Freddyâ€™s Frozen Custard &amp; Steakburgers</v>
      </c>
      <c r="K23" s="22">
        <f>LARGE('Top 50 Fast-Food EUA'!G:G,' Análise-Analysis '!I23)</f>
        <v>32</v>
      </c>
      <c r="M23" s="41"/>
      <c r="N23" s="41"/>
      <c r="O23" s="42"/>
    </row>
    <row r="24" spans="1:15">
      <c r="A24" s="21">
        <v>22</v>
      </c>
      <c r="B24" s="21" t="str">
        <f>INDEX('Top 50 Fast-Food EUA'!A:B,MATCH(' Análise-Analysis '!C24,'Top 50 Fast-Food EUA'!B:B,0),1)</f>
        <v>Whataburger</v>
      </c>
      <c r="C24" s="22">
        <f>LARGE('Top 50 Fast-Food EUA'!B:B,' Análise-Analysis '!A24)</f>
        <v>3089</v>
      </c>
      <c r="D24" s="31"/>
      <c r="E24" s="21">
        <v>22</v>
      </c>
      <c r="F24" s="21" t="str">
        <f>INDEX('Top 50 Fast-Food EUA'!A:C,MATCH(' Análise-Analysis '!G24,'Top 50 Fast-Food EUA'!C:C,0),1)</f>
        <v>White Castle</v>
      </c>
      <c r="G24" s="22">
        <f>LARGE('Top 50 Fast-Food EUA'!C:C,' Análise-Analysis '!E24)</f>
        <v>1749</v>
      </c>
      <c r="I24" s="21">
        <v>22</v>
      </c>
      <c r="J24" s="21" t="str">
        <f>INDEX('Top 50 Fast-Food EUA'!A:G,MATCH(' Análise-Analysis '!K24,'Top 50 Fast-Food EUA'!G:G,0),1)</f>
        <v>Papa Johns</v>
      </c>
      <c r="K24" s="22">
        <f>LARGE('Top 50 Fast-Food EUA'!G:G,' Análise-Analysis '!I24)</f>
        <v>30</v>
      </c>
      <c r="M24" s="41"/>
      <c r="N24" s="41"/>
      <c r="O24" s="42"/>
    </row>
    <row r="25" spans="1:15">
      <c r="A25" s="21">
        <v>23</v>
      </c>
      <c r="B25" s="21" t="str">
        <f>INDEX('Top 50 Fast-Food EUA'!A:B,MATCH(' Análise-Analysis '!C25,'Top 50 Fast-Food EUA'!B:B,0),1)</f>
        <v>Culverâ€™s</v>
      </c>
      <c r="C25" s="22">
        <f>LARGE('Top 50 Fast-Food EUA'!B:B,' Análise-Analysis '!A25)</f>
        <v>2489</v>
      </c>
      <c r="D25" s="31"/>
      <c r="E25" s="21">
        <v>23</v>
      </c>
      <c r="F25" s="21" t="str">
        <f>INDEX('Top 50 Fast-Food EUA'!A:C,MATCH(' Análise-Analysis '!G25,'Top 50 Fast-Food EUA'!C:C,0),1)</f>
        <v>Sonic Drive-In</v>
      </c>
      <c r="G25" s="22">
        <f>LARGE('Top 50 Fast-Food EUA'!C:C,' Análise-Analysis '!E25)</f>
        <v>1643</v>
      </c>
      <c r="I25" s="21">
        <v>23</v>
      </c>
      <c r="J25" s="21" t="str">
        <f>INDEX('Top 50 Fast-Food EUA'!A:G,MATCH(' Análise-Analysis '!K25,'Top 50 Fast-Food EUA'!G:G,0),1)</f>
        <v>Whataburger</v>
      </c>
      <c r="K25" s="22">
        <f>LARGE('Top 50 Fast-Food EUA'!G:G,' Análise-Analysis '!I25)</f>
        <v>29</v>
      </c>
      <c r="M25" s="41"/>
      <c r="N25" s="41"/>
      <c r="O25" s="42"/>
    </row>
    <row r="26" spans="1:15">
      <c r="A26" s="21">
        <v>24</v>
      </c>
      <c r="B26" s="21" t="str">
        <f>INDEX('Top 50 Fast-Food EUA'!A:B,MATCH(' Análise-Analysis '!C26,'Top 50 Fast-Food EUA'!B:B,0),1)</f>
        <v>Raising Caneâ€™s</v>
      </c>
      <c r="C26" s="22">
        <f>LARGE('Top 50 Fast-Food EUA'!B:B,' Análise-Analysis '!A26)</f>
        <v>2377</v>
      </c>
      <c r="D26" s="31"/>
      <c r="E26" s="21">
        <v>24</v>
      </c>
      <c r="F26" s="21" t="str">
        <f>INDEX('Top 50 Fast-Food EUA'!A:C,MATCH(' Análise-Analysis '!G26,'Top 50 Fast-Food EUA'!C:C,0),1)</f>
        <v>Wingstop</v>
      </c>
      <c r="G26" s="22">
        <f>LARGE('Top 50 Fast-Food EUA'!C:C,' Análise-Analysis '!E26)</f>
        <v>1592</v>
      </c>
      <c r="I26" s="21">
        <v>24</v>
      </c>
      <c r="J26" s="21" t="str">
        <f>INDEX('Top 50 Fast-Food EUA'!A:G,MATCH(' Análise-Analysis '!K26,'Top 50 Fast-Food EUA'!G:G,0),1)</f>
        <v>Sonic Drive-In</v>
      </c>
      <c r="K26" s="22">
        <f>LARGE('Top 50 Fast-Food EUA'!G:G,' Análise-Analysis '!I26)</f>
        <v>26</v>
      </c>
      <c r="M26" s="41"/>
      <c r="N26" s="41"/>
      <c r="O26" s="42"/>
    </row>
    <row r="27" spans="1:15">
      <c r="A27" s="21">
        <v>25</v>
      </c>
      <c r="B27" s="21" t="str">
        <f>INDEX('Top 50 Fast-Food EUA'!A:B,MATCH(' Análise-Analysis '!C27,'Top 50 Fast-Food EUA'!B:B,0),1)</f>
        <v>Jimmy Johnâ€™s</v>
      </c>
      <c r="C27" s="22">
        <f>LARGE('Top 50 Fast-Food EUA'!B:B,' Análise-Analysis '!A27)</f>
        <v>2301</v>
      </c>
      <c r="D27" s="31"/>
      <c r="E27" s="21">
        <v>25</v>
      </c>
      <c r="F27" s="21" t="str">
        <f>INDEX('Top 50 Fast-Food EUA'!A:C,MATCH(' Análise-Analysis '!G27,'Top 50 Fast-Food EUA'!C:C,0),1)</f>
        <v>Del Taco</v>
      </c>
      <c r="G27" s="22">
        <f>LARGE('Top 50 Fast-Food EUA'!C:C,' Análise-Analysis '!E27)</f>
        <v>1551</v>
      </c>
      <c r="I27" s="21">
        <v>25</v>
      </c>
      <c r="J27" s="21" t="str">
        <f>INDEX('Top 50 Fast-Food EUA'!A:G,MATCH(' Análise-Analysis '!K27,'Top 50 Fast-Food EUA'!G:G,0),1)</f>
        <v>Burger King</v>
      </c>
      <c r="K27" s="22">
        <f>LARGE('Top 50 Fast-Food EUA'!G:G,' Análise-Analysis '!I27)</f>
        <v>24</v>
      </c>
      <c r="M27" s="41"/>
      <c r="N27" s="41"/>
      <c r="O27" s="42"/>
    </row>
    <row r="28" spans="1:15">
      <c r="A28" s="21">
        <v>26</v>
      </c>
      <c r="B28" s="21" t="str">
        <f>INDEX('Top 50 Fast-Food EUA'!A:B,MATCH(' Análise-Analysis '!C28,'Top 50 Fast-Food EUA'!B:B,0),1)</f>
        <v>Wingstop</v>
      </c>
      <c r="C28" s="22">
        <f>LARGE('Top 50 Fast-Food EUA'!B:B,' Análise-Analysis '!A28)</f>
        <v>2278</v>
      </c>
      <c r="D28" s="31"/>
      <c r="E28" s="21">
        <v>26</v>
      </c>
      <c r="F28" s="21" t="str">
        <f>INDEX('Top 50 Fast-Food EUA'!A:C,MATCH(' Análise-Analysis '!G28,'Top 50 Fast-Food EUA'!C:C,0),1)</f>
        <v>Burger King</v>
      </c>
      <c r="G28" s="22">
        <f>LARGE('Top 50 Fast-Food EUA'!C:C,' Análise-Analysis '!E28)</f>
        <v>1470</v>
      </c>
      <c r="I28" s="21">
        <v>26</v>
      </c>
      <c r="J28" s="21" t="str">
        <f>INDEX('Top 50 Fast-Food EUA'!A:G,MATCH(' Análise-Analysis '!K28,'Top 50 Fast-Food EUA'!G:G,0),1)</f>
        <v>Burger King</v>
      </c>
      <c r="K28" s="22">
        <f>LARGE('Top 50 Fast-Food EUA'!G:G,' Análise-Analysis '!I28)</f>
        <v>24</v>
      </c>
      <c r="M28" s="41"/>
      <c r="N28" s="41"/>
      <c r="O28" s="42"/>
    </row>
    <row r="29" spans="1:15">
      <c r="A29" s="21">
        <v>27</v>
      </c>
      <c r="B29" s="21" t="str">
        <f>INDEX('Top 50 Fast-Food EUA'!A:B,MATCH(' Análise-Analysis '!C29,'Top 50 Fast-Food EUA'!B:B,0),1)</f>
        <v>Zaxbyâ€™s</v>
      </c>
      <c r="C29" s="22">
        <f>LARGE('Top 50 Fast-Food EUA'!B:B,' Análise-Analysis '!A29)</f>
        <v>2233</v>
      </c>
      <c r="D29" s="31"/>
      <c r="E29" s="21">
        <v>27</v>
      </c>
      <c r="F29" s="21" t="str">
        <f>INDEX('Top 50 Fast-Food EUA'!A:C,MATCH(' Análise-Analysis '!G29,'Top 50 Fast-Food EUA'!C:C,0),1)</f>
        <v>KFC</v>
      </c>
      <c r="G29" s="22">
        <f>LARGE('Top 50 Fast-Food EUA'!C:C,' Análise-Analysis '!E29)</f>
        <v>1408</v>
      </c>
      <c r="I29" s="21">
        <v>27</v>
      </c>
      <c r="J29" s="21" t="str">
        <f>INDEX('Top 50 Fast-Food EUA'!A:G,MATCH(' Análise-Analysis '!K29,'Top 50 Fast-Food EUA'!G:G,0),1)</f>
        <v>Bojangles</v>
      </c>
      <c r="K29" s="22">
        <f>LARGE('Top 50 Fast-Food EUA'!G:G,' Análise-Analysis '!I29)</f>
        <v>15</v>
      </c>
      <c r="M29" s="41"/>
      <c r="N29" s="41"/>
      <c r="O29" s="42"/>
    </row>
    <row r="30" spans="1:15">
      <c r="A30" s="21">
        <v>28</v>
      </c>
      <c r="B30" s="21" t="str">
        <f>INDEX('Top 50 Fast-Food EUA'!A:B,MATCH(' Análise-Analysis '!C30,'Top 50 Fast-Food EUA'!B:B,0),1)</f>
        <v>Jersey Mikeâ€™s</v>
      </c>
      <c r="C30" s="22">
        <f>LARGE('Top 50 Fast-Food EUA'!B:B,' Análise-Analysis '!A30)</f>
        <v>2203</v>
      </c>
      <c r="D30" s="31"/>
      <c r="E30" s="21">
        <v>28</v>
      </c>
      <c r="F30" s="21" t="str">
        <f>INDEX('Top 50 Fast-Food EUA'!A:C,MATCH(' Análise-Analysis '!G30,'Top 50 Fast-Food EUA'!C:C,0),1)</f>
        <v>Carlâ€™s Jr.</v>
      </c>
      <c r="G30" s="22">
        <f>LARGE('Top 50 Fast-Food EUA'!C:C,' Análise-Analysis '!E30)</f>
        <v>1400</v>
      </c>
      <c r="I30" s="21">
        <v>28</v>
      </c>
      <c r="J30" s="21" t="str">
        <f>INDEX('Top 50 Fast-Food EUA'!A:G,MATCH(' Análise-Analysis '!K30,'Top 50 Fast-Food EUA'!G:G,0),1)</f>
        <v>KFC</v>
      </c>
      <c r="K30" s="22">
        <f>LARGE('Top 50 Fast-Food EUA'!G:G,' Análise-Analysis '!I30)</f>
        <v>10</v>
      </c>
      <c r="M30" s="41"/>
      <c r="N30" s="41"/>
      <c r="O30" s="42"/>
    </row>
    <row r="31" spans="1:15">
      <c r="A31" s="21">
        <v>29</v>
      </c>
      <c r="B31" s="21" t="str">
        <f>INDEX('Top 50 Fast-Food EUA'!A:B,MATCH(' Análise-Analysis '!C31,'Top 50 Fast-Food EUA'!B:B,0),1)</f>
        <v>Hardeeâ€™s</v>
      </c>
      <c r="C31" s="22">
        <f>LARGE('Top 50 Fast-Food EUA'!B:B,' Análise-Analysis '!A31)</f>
        <v>2100</v>
      </c>
      <c r="D31" s="31"/>
      <c r="E31" s="21">
        <v>29</v>
      </c>
      <c r="F31" s="21" t="str">
        <f>INDEX('Top 50 Fast-Food EUA'!A:C,MATCH(' Análise-Analysis '!G31,'Top 50 Fast-Food EUA'!C:C,0),1)</f>
        <v>Domino's</v>
      </c>
      <c r="G31" s="22">
        <f>LARGE('Top 50 Fast-Food EUA'!C:C,' Análise-Analysis '!E31)</f>
        <v>1317</v>
      </c>
      <c r="I31" s="21">
        <v>29</v>
      </c>
      <c r="J31" s="21" t="str">
        <f>INDEX('Top 50 Fast-Food EUA'!A:G,MATCH(' Análise-Analysis '!K31,'Top 50 Fast-Food EUA'!G:G,0),1)</f>
        <v>Firehouse Subs</v>
      </c>
      <c r="K31" s="22">
        <f>LARGE('Top 50 Fast-Food EUA'!G:G,' Análise-Analysis '!I31)</f>
        <v>9</v>
      </c>
      <c r="M31" s="41"/>
      <c r="N31" s="41"/>
      <c r="O31" s="42"/>
    </row>
    <row r="32" spans="1:15">
      <c r="A32" s="21">
        <v>30</v>
      </c>
      <c r="B32" s="21" t="str">
        <f>INDEX('Top 50 Fast-Food EUA'!A:B,MATCH(' Análise-Analysis '!C32,'Top 50 Fast-Food EUA'!B:B,0),1)</f>
        <v>Five Guys</v>
      </c>
      <c r="C32" s="22">
        <f>LARGE('Top 50 Fast-Food EUA'!B:B,' Análise-Analysis '!A32)</f>
        <v>2093</v>
      </c>
      <c r="D32" s="31"/>
      <c r="E32" s="21">
        <v>30</v>
      </c>
      <c r="F32" s="21" t="str">
        <f>INDEX('Top 50 Fast-Food EUA'!A:C,MATCH(' Análise-Analysis '!G32,'Top 50 Fast-Food EUA'!C:C,0),1)</f>
        <v>Arbyâ€™s</v>
      </c>
      <c r="G32" s="22">
        <f>LARGE('Top 50 Fast-Food EUA'!C:C,' Análise-Analysis '!E32)</f>
        <v>1309</v>
      </c>
      <c r="I32" s="21">
        <v>30</v>
      </c>
      <c r="J32" s="21" t="str">
        <f>INDEX('Top 50 Fast-Food EUA'!A:G,MATCH(' Análise-Analysis '!K32,'Top 50 Fast-Food EUA'!G:G,0),1)</f>
        <v>Five Guys</v>
      </c>
      <c r="K32" s="22">
        <f>LARGE('Top 50 Fast-Food EUA'!G:G,' Análise-Analysis '!I32)</f>
        <v>8</v>
      </c>
      <c r="M32" s="41"/>
      <c r="N32" s="41"/>
      <c r="O32" s="42"/>
    </row>
    <row r="33" spans="1:15">
      <c r="A33" s="21">
        <v>31</v>
      </c>
      <c r="B33" s="21" t="str">
        <f>INDEX('Top 50 Fast-Food EUA'!A:B,MATCH(' Análise-Analysis '!C33,'Top 50 Fast-Food EUA'!B:B,0),1)</f>
        <v>Carlâ€™s Jr.</v>
      </c>
      <c r="C33" s="22">
        <f>LARGE('Top 50 Fast-Food EUA'!B:B,' Análise-Analysis '!A33)</f>
        <v>1560</v>
      </c>
      <c r="D33" s="31"/>
      <c r="E33" s="21">
        <v>31</v>
      </c>
      <c r="F33" s="21" t="str">
        <f>INDEX('Top 50 Fast-Food EUA'!A:C,MATCH(' Análise-Analysis '!G33,'Top 50 Fast-Food EUA'!C:C,0),1)</f>
        <v>Starbucks</v>
      </c>
      <c r="G33" s="22">
        <f>LARGE('Top 50 Fast-Food EUA'!C:C,' Análise-Analysis '!E33)</f>
        <v>1200</v>
      </c>
      <c r="I33" s="21">
        <v>31</v>
      </c>
      <c r="J33" s="21" t="str">
        <f>INDEX('Top 50 Fast-Food EUA'!A:G,MATCH(' Análise-Analysis '!K33,'Top 50 Fast-Food EUA'!G:G,0),1)</f>
        <v>Krispy Kreme</v>
      </c>
      <c r="K33" s="22">
        <f>LARGE('Top 50 Fast-Food EUA'!G:G,' Análise-Analysis '!I33)</f>
        <v>6</v>
      </c>
      <c r="M33" s="41"/>
      <c r="N33" s="41"/>
      <c r="O33" s="42"/>
    </row>
    <row r="34" spans="1:15">
      <c r="A34" s="21">
        <v>32</v>
      </c>
      <c r="B34" s="21" t="str">
        <f>INDEX('Top 50 Fast-Food EUA'!A:B,MATCH(' Análise-Analysis '!C34,'Top 50 Fast-Food EUA'!B:B,0),1)</f>
        <v>Bojangles</v>
      </c>
      <c r="C34" s="22">
        <f>LARGE('Top 50 Fast-Food EUA'!B:B,' Análise-Analysis '!A34)</f>
        <v>1485</v>
      </c>
      <c r="D34" s="31"/>
      <c r="E34" s="21">
        <v>32</v>
      </c>
      <c r="F34" s="21" t="str">
        <f>INDEX('Top 50 Fast-Food EUA'!A:C,MATCH(' Análise-Analysis '!G34,'Top 50 Fast-Food EUA'!C:C,0),1)</f>
        <v>Starbucks</v>
      </c>
      <c r="G34" s="22">
        <f>LARGE('Top 50 Fast-Food EUA'!C:C,' Análise-Analysis '!E34)</f>
        <v>1200</v>
      </c>
      <c r="I34" s="21">
        <v>32</v>
      </c>
      <c r="J34" s="21" t="str">
        <f>INDEX('Top 50 Fast-Food EUA'!A:G,MATCH(' Análise-Analysis '!K34,'Top 50 Fast-Food EUA'!G:G,0),1)</f>
        <v>In-N-Out Burger</v>
      </c>
      <c r="K34" s="22">
        <f>LARGE('Top 50 Fast-Food EUA'!G:G,' Análise-Analysis '!I34)</f>
        <v>5</v>
      </c>
      <c r="M34" s="41"/>
      <c r="N34" s="41"/>
      <c r="O34" s="42"/>
    </row>
    <row r="35" spans="1:15">
      <c r="A35" s="21">
        <v>33</v>
      </c>
      <c r="B35" s="21" t="str">
        <f>INDEX('Top 50 Fast-Food EUA'!A:B,MATCH(' Análise-Analysis '!C35,'Top 50 Fast-Food EUA'!B:B,0),1)</f>
        <v>In-N-Out Burger</v>
      </c>
      <c r="C35" s="22">
        <f>LARGE('Top 50 Fast-Food EUA'!B:B,' Análise-Analysis '!A35)</f>
        <v>1175</v>
      </c>
      <c r="D35" s="31"/>
      <c r="E35" s="21">
        <v>33</v>
      </c>
      <c r="F35" s="21" t="str">
        <f>INDEX('Top 50 Fast-Food EUA'!A:C,MATCH(' Análise-Analysis '!G35,'Top 50 Fast-Food EUA'!C:C,0),1)</f>
        <v>Papa Johns</v>
      </c>
      <c r="G35" s="22">
        <f>LARGE('Top 50 Fast-Food EUA'!C:C,' Análise-Analysis '!E35)</f>
        <v>1147</v>
      </c>
      <c r="I35" s="21">
        <v>33</v>
      </c>
      <c r="J35" s="21" t="str">
        <f>INDEX('Top 50 Fast-Food EUA'!A:G,MATCH(' Análise-Analysis '!K35,'Top 50 Fast-Food EUA'!G:G,0),1)</f>
        <v>Del Taco</v>
      </c>
      <c r="K35" s="22">
        <f>LARGE('Top 50 Fast-Food EUA'!G:G,' Análise-Analysis '!I35)</f>
        <v>4</v>
      </c>
      <c r="M35" s="41"/>
      <c r="N35" s="41"/>
      <c r="O35" s="42"/>
    </row>
    <row r="36" spans="1:15">
      <c r="A36" s="21">
        <v>34</v>
      </c>
      <c r="B36" s="21" t="str">
        <f>INDEX('Top 50 Fast-Food EUA'!A:B,MATCH(' Análise-Analysis '!C36,'Top 50 Fast-Food EUA'!B:B,0),1)</f>
        <v>Firehouse Subs</v>
      </c>
      <c r="C36" s="22">
        <f>LARGE('Top 50 Fast-Food EUA'!B:B,' Análise-Analysis '!A36)</f>
        <v>1044</v>
      </c>
      <c r="D36" s="31"/>
      <c r="E36" s="21">
        <v>34</v>
      </c>
      <c r="F36" s="21" t="str">
        <f>INDEX('Top 50 Fast-Food EUA'!A:C,MATCH(' Análise-Analysis '!G36,'Top 50 Fast-Food EUA'!C:C,0),1)</f>
        <v>Checkers/Rallyâ€™s</v>
      </c>
      <c r="G36" s="22">
        <f>LARGE('Top 50 Fast-Food EUA'!C:C,' Análise-Analysis '!E36)</f>
        <v>1145</v>
      </c>
      <c r="I36" s="21">
        <v>34</v>
      </c>
      <c r="J36" s="21" t="str">
        <f>INDEX('Top 50 Fast-Food EUA'!A:G,MATCH(' Análise-Analysis '!K36,'Top 50 Fast-Food EUA'!G:G,0),1)</f>
        <v>Del Taco</v>
      </c>
      <c r="K36" s="22">
        <f>LARGE('Top 50 Fast-Food EUA'!G:G,' Análise-Analysis '!I36)</f>
        <v>4</v>
      </c>
      <c r="M36" s="41"/>
      <c r="N36" s="41"/>
      <c r="O36" s="42"/>
    </row>
    <row r="37" spans="1:15">
      <c r="A37" s="21">
        <v>35</v>
      </c>
      <c r="B37" s="21" t="str">
        <f>INDEX('Top 50 Fast-Food EUA'!A:B,MATCH(' Análise-Analysis '!C37,'Top 50 Fast-Food EUA'!B:B,0),1)</f>
        <v>Krispy Kreme</v>
      </c>
      <c r="C37" s="22">
        <f>LARGE('Top 50 Fast-Food EUA'!B:B,' Análise-Analysis '!A37)</f>
        <v>996</v>
      </c>
      <c r="D37" s="31"/>
      <c r="E37" s="21">
        <v>35</v>
      </c>
      <c r="F37" s="21" t="str">
        <f>INDEX('Top 50 Fast-Food EUA'!A:C,MATCH(' Análise-Analysis '!G37,'Top 50 Fast-Food EUA'!C:C,0),1)</f>
        <v>Checkers/Rallyâ€™s</v>
      </c>
      <c r="G37" s="22">
        <f>LARGE('Top 50 Fast-Food EUA'!C:C,' Análise-Analysis '!E37)</f>
        <v>1145</v>
      </c>
      <c r="I37" s="21">
        <v>35</v>
      </c>
      <c r="J37" s="21" t="str">
        <f>INDEX('Top 50 Fast-Food EUA'!A:G,MATCH(' Análise-Analysis '!K37,'Top 50 Fast-Food EUA'!G:G,0),1)</f>
        <v>Zaxbyâ€™s</v>
      </c>
      <c r="K37" s="22">
        <f>LARGE('Top 50 Fast-Food EUA'!G:G,' Análise-Analysis '!I37)</f>
        <v>3</v>
      </c>
      <c r="M37" s="41"/>
      <c r="N37" s="41"/>
      <c r="O37" s="42"/>
    </row>
    <row r="38" spans="1:15">
      <c r="A38" s="21">
        <v>36</v>
      </c>
      <c r="B38" s="21" t="str">
        <f>INDEX('Top 50 Fast-Food EUA'!A:B,MATCH(' Análise-Analysis '!C38,'Top 50 Fast-Food EUA'!B:B,0),1)</f>
        <v>El Pollo Loco</v>
      </c>
      <c r="C38" s="22">
        <f>LARGE('Top 50 Fast-Food EUA'!B:B,' Análise-Analysis '!A38)</f>
        <v>973</v>
      </c>
      <c r="D38" s="31"/>
      <c r="E38" s="21">
        <v>36</v>
      </c>
      <c r="F38" s="21" t="str">
        <f>INDEX('Top 50 Fast-Food EUA'!A:C,MATCH(' Análise-Analysis '!G38,'Top 50 Fast-Food EUA'!C:C,0),1)</f>
        <v>Dunkin'</v>
      </c>
      <c r="G38" s="22">
        <f>LARGE('Top 50 Fast-Food EUA'!C:C,' Análise-Analysis '!E38)</f>
        <v>1127</v>
      </c>
      <c r="I38" s="21">
        <v>36</v>
      </c>
      <c r="J38" s="21" t="str">
        <f>INDEX('Top 50 Fast-Food EUA'!A:G,MATCH(' Análise-Analysis '!K38,'Top 50 Fast-Food EUA'!G:G,0),1)</f>
        <v>QDOBA</v>
      </c>
      <c r="K38" s="22">
        <f>LARGE('Top 50 Fast-Food EUA'!G:G,' Análise-Analysis '!I38)</f>
        <v>2</v>
      </c>
      <c r="M38" s="41"/>
      <c r="N38" s="41"/>
      <c r="O38" s="42"/>
    </row>
    <row r="39" spans="1:15">
      <c r="A39" s="21">
        <v>37</v>
      </c>
      <c r="B39" s="21" t="str">
        <f>INDEX('Top 50 Fast-Food EUA'!A:B,MATCH(' Análise-Analysis '!C39,'Top 50 Fast-Food EUA'!B:B,0),1)</f>
        <v>Tropical Smoothie Cafe</v>
      </c>
      <c r="C39" s="22">
        <f>LARGE('Top 50 Fast-Food EUA'!B:B,' Análise-Analysis '!A39)</f>
        <v>948</v>
      </c>
      <c r="D39" s="31"/>
      <c r="E39" s="21">
        <v>37</v>
      </c>
      <c r="F39" s="21" t="str">
        <f>INDEX('Top 50 Fast-Food EUA'!A:C,MATCH(' Análise-Analysis '!G39,'Top 50 Fast-Food EUA'!C:C,0),1)</f>
        <v>Hardeeâ€™s</v>
      </c>
      <c r="G39" s="22">
        <f>LARGE('Top 50 Fast-Food EUA'!C:C,' Análise-Analysis '!E39)</f>
        <v>1117</v>
      </c>
      <c r="I39" s="21">
        <v>37</v>
      </c>
      <c r="J39" s="21" t="str">
        <f>INDEX('Top 50 Fast-Food EUA'!A:G,MATCH(' Análise-Analysis '!K39,'Top 50 Fast-Food EUA'!G:G,0),1)</f>
        <v>El Pollo Loco</v>
      </c>
      <c r="K39" s="22">
        <f>LARGE('Top 50 Fast-Food EUA'!G:G,' Análise-Analysis '!I39)</f>
        <v>1</v>
      </c>
      <c r="M39" s="41"/>
      <c r="N39" s="41"/>
      <c r="O39" s="42"/>
    </row>
    <row r="40" spans="1:15">
      <c r="A40" s="21">
        <v>38</v>
      </c>
      <c r="B40" s="21" t="str">
        <f>INDEX('Top 50 Fast-Food EUA'!A:B,MATCH(' Análise-Analysis '!C40,'Top 50 Fast-Food EUA'!B:B,0),1)</f>
        <v>Checkers/Rallyâ€™s</v>
      </c>
      <c r="C40" s="22">
        <f>LARGE('Top 50 Fast-Food EUA'!B:B,' Análise-Analysis '!A40)</f>
        <v>931</v>
      </c>
      <c r="D40" s="31"/>
      <c r="E40" s="21">
        <v>38</v>
      </c>
      <c r="F40" s="21" t="str">
        <f>INDEX('Top 50 Fast-Food EUA'!A:C,MATCH(' Análise-Analysis '!G40,'Top 50 Fast-Food EUA'!C:C,0),1)</f>
        <v>Moeâ€™s Southwest Grill</v>
      </c>
      <c r="G40" s="22">
        <f>LARGE('Top 50 Fast-Food EUA'!C:C,' Análise-Analysis '!E40)</f>
        <v>1073</v>
      </c>
      <c r="I40" s="21">
        <v>38</v>
      </c>
      <c r="J40" s="21" t="str">
        <f>INDEX('Top 50 Fast-Food EUA'!A:G,MATCH(' Análise-Analysis '!K40,'Top 50 Fast-Food EUA'!G:G,0),1)</f>
        <v>White Castle</v>
      </c>
      <c r="K40" s="22">
        <f>LARGE('Top 50 Fast-Food EUA'!G:G,' Análise-Analysis '!I40)</f>
        <v>-6</v>
      </c>
      <c r="M40" s="41"/>
      <c r="N40" s="41"/>
      <c r="O40" s="42"/>
    </row>
    <row r="41" spans="1:15">
      <c r="A41" s="21">
        <v>39</v>
      </c>
      <c r="B41" s="21" t="str">
        <f>INDEX('Top 50 Fast-Food EUA'!A:B,MATCH(' Análise-Analysis '!C41,'Top 50 Fast-Food EUA'!B:B,0),1)</f>
        <v>Checkers/Rallyâ€™s</v>
      </c>
      <c r="C41" s="22">
        <f>LARGE('Top 50 Fast-Food EUA'!B:B,' Análise-Analysis '!A41)</f>
        <v>931</v>
      </c>
      <c r="D41" s="31"/>
      <c r="E41" s="21">
        <v>39</v>
      </c>
      <c r="F41" s="21" t="str">
        <f>INDEX('Top 50 Fast-Food EUA'!A:C,MATCH(' Análise-Analysis '!G41,'Top 50 Fast-Food EUA'!C:C,0),1)</f>
        <v>Dairy Queen</v>
      </c>
      <c r="G41" s="22">
        <f>LARGE('Top 50 Fast-Food EUA'!C:C,' Análise-Analysis '!E41)</f>
        <v>1036</v>
      </c>
      <c r="I41" s="21">
        <v>39</v>
      </c>
      <c r="J41" s="21" t="str">
        <f>INDEX('Top 50 Fast-Food EUA'!A:G,MATCH(' Análise-Analysis '!K41,'Top 50 Fast-Food EUA'!G:G,0),1)</f>
        <v>Checkers/Rallyâ€™s</v>
      </c>
      <c r="K41" s="22">
        <f>LARGE('Top 50 Fast-Food EUA'!G:G,' Análise-Analysis '!I41)</f>
        <v>-13</v>
      </c>
      <c r="M41" s="41"/>
      <c r="N41" s="41"/>
      <c r="O41" s="42"/>
    </row>
    <row r="42" spans="1:15">
      <c r="A42" s="21">
        <v>40</v>
      </c>
      <c r="B42" s="21" t="str">
        <f>INDEX('Top 50 Fast-Food EUA'!A:B,MATCH(' Análise-Analysis '!C42,'Top 50 Fast-Food EUA'!B:B,0),1)</f>
        <v>Marcoâ€™s Pizza</v>
      </c>
      <c r="C42" s="22">
        <f>LARGE('Top 50 Fast-Food EUA'!B:B,' Análise-Analysis '!A42)</f>
        <v>899</v>
      </c>
      <c r="D42" s="31"/>
      <c r="E42" s="21">
        <v>40</v>
      </c>
      <c r="F42" s="21" t="str">
        <f>INDEX('Top 50 Fast-Food EUA'!A:C,MATCH(' Análise-Analysis '!G42,'Top 50 Fast-Food EUA'!C:C,0),1)</f>
        <v>Pizza Hut</v>
      </c>
      <c r="G42" s="22">
        <f>LARGE('Top 50 Fast-Food EUA'!C:C,' Análise-Analysis '!E42)</f>
        <v>1022</v>
      </c>
      <c r="I42" s="21">
        <v>40</v>
      </c>
      <c r="J42" s="21" t="str">
        <f>INDEX('Top 50 Fast-Food EUA'!A:G,MATCH(' Análise-Analysis '!K42,'Top 50 Fast-Food EUA'!G:G,0),1)</f>
        <v>Checkers/Rallyâ€™s</v>
      </c>
      <c r="K42" s="22">
        <f>LARGE('Top 50 Fast-Food EUA'!G:G,' Análise-Analysis '!I42)</f>
        <v>-13</v>
      </c>
      <c r="M42" s="41"/>
      <c r="N42" s="41"/>
      <c r="O42" s="42"/>
    </row>
    <row r="43" spans="1:15">
      <c r="A43" s="21">
        <v>41</v>
      </c>
      <c r="B43" s="21" t="str">
        <f>INDEX('Top 50 Fast-Food EUA'!A:B,MATCH(' Análise-Analysis '!C43,'Top 50 Fast-Food EUA'!B:B,0),1)</f>
        <v>McAlisterâ€™s Deli</v>
      </c>
      <c r="C43" s="22">
        <f>LARGE('Top 50 Fast-Food EUA'!B:B,' Análise-Analysis '!A43)</f>
        <v>869</v>
      </c>
      <c r="D43" s="31"/>
      <c r="E43" s="21">
        <v>41</v>
      </c>
      <c r="F43" s="21" t="str">
        <f>INDEX('Top 50 Fast-Food EUA'!A:C,MATCH(' Análise-Analysis '!G43,'Top 50 Fast-Food EUA'!C:C,0),1)</f>
        <v>Tropical Smoothie Cafe</v>
      </c>
      <c r="G43" s="22">
        <f>LARGE('Top 50 Fast-Food EUA'!C:C,' Análise-Analysis '!E43)</f>
        <v>1009</v>
      </c>
      <c r="I43" s="21">
        <v>41</v>
      </c>
      <c r="J43" s="21" t="str">
        <f>INDEX('Top 50 Fast-Food EUA'!A:G,MATCH(' Análise-Analysis '!K43,'Top 50 Fast-Food EUA'!G:G,0),1)</f>
        <v>Checkers/Rallyâ€™s</v>
      </c>
      <c r="K43" s="22">
        <f>LARGE('Top 50 Fast-Food EUA'!G:G,' Análise-Analysis '!I43)</f>
        <v>-13</v>
      </c>
      <c r="M43" s="41"/>
      <c r="N43" s="41"/>
      <c r="O43" s="42"/>
    </row>
    <row r="44" spans="1:15">
      <c r="A44" s="21">
        <v>42</v>
      </c>
      <c r="B44" s="21" t="str">
        <f>INDEX('Top 50 Fast-Food EUA'!A:B,MATCH(' Análise-Analysis '!C44,'Top 50 Fast-Food EUA'!B:B,0),1)</f>
        <v>QDOBA</v>
      </c>
      <c r="C44" s="22">
        <f>LARGE('Top 50 Fast-Food EUA'!B:B,' Análise-Analysis '!A44)</f>
        <v>835</v>
      </c>
      <c r="D44" s="31"/>
      <c r="E44" s="21">
        <v>42</v>
      </c>
      <c r="F44" s="21" t="str">
        <f>INDEX('Top 50 Fast-Food EUA'!A:C,MATCH(' Análise-Analysis '!G44,'Top 50 Fast-Food EUA'!C:C,0),1)</f>
        <v>QDOBA</v>
      </c>
      <c r="G44" s="22">
        <f>LARGE('Top 50 Fast-Food EUA'!C:C,' Análise-Analysis '!E44)</f>
        <v>1006</v>
      </c>
      <c r="I44" s="21">
        <v>42</v>
      </c>
      <c r="J44" s="21" t="str">
        <f>INDEX('Top 50 Fast-Food EUA'!A:G,MATCH(' Análise-Analysis '!K44,'Top 50 Fast-Food EUA'!G:G,0),1)</f>
        <v>Carlâ€™s Jr.</v>
      </c>
      <c r="K44" s="22">
        <f>LARGE('Top 50 Fast-Food EUA'!G:G,' Análise-Analysis '!I44)</f>
        <v>-21</v>
      </c>
      <c r="M44" s="41"/>
      <c r="N44" s="41"/>
      <c r="O44" s="42"/>
    </row>
    <row r="45" spans="1:15">
      <c r="A45" s="21">
        <v>43</v>
      </c>
      <c r="B45" s="21" t="str">
        <f>INDEX('Top 50 Fast-Food EUA'!A:B,MATCH(' Análise-Analysis '!C45,'Top 50 Fast-Food EUA'!B:B,0),1)</f>
        <v>Papa Murphyâ€™s</v>
      </c>
      <c r="C45" s="22">
        <f>LARGE('Top 50 Fast-Food EUA'!B:B,' Análise-Analysis '!A45)</f>
        <v>809</v>
      </c>
      <c r="D45" s="31"/>
      <c r="E45" s="21">
        <v>43</v>
      </c>
      <c r="F45" s="21" t="str">
        <f>INDEX('Top 50 Fast-Food EUA'!A:C,MATCH(' Análise-Analysis '!G45,'Top 50 Fast-Food EUA'!C:C,0),1)</f>
        <v>Little Caesars</v>
      </c>
      <c r="G45" s="22">
        <f>LARGE('Top 50 Fast-Food EUA'!C:C,' Análise-Analysis '!E45)</f>
        <v>1000</v>
      </c>
      <c r="I45" s="21">
        <v>43</v>
      </c>
      <c r="J45" s="21" t="str">
        <f>INDEX('Top 50 Fast-Food EUA'!A:G,MATCH(' Análise-Analysis '!K45,'Top 50 Fast-Food EUA'!G:G,0),1)</f>
        <v>Dairy Queen</v>
      </c>
      <c r="K45" s="22">
        <f>LARGE('Top 50 Fast-Food EUA'!G:G,' Análise-Analysis '!I45)</f>
        <v>-22</v>
      </c>
      <c r="M45" s="41"/>
      <c r="N45" s="41"/>
      <c r="O45" s="42"/>
    </row>
    <row r="46" spans="1:15">
      <c r="A46" s="21">
        <v>44</v>
      </c>
      <c r="B46" s="21" t="str">
        <f>INDEX('Top 50 Fast-Food EUA'!A:B,MATCH(' Análise-Analysis '!C46,'Top 50 Fast-Food EUA'!B:B,0),1)</f>
        <v>Shake Shack</v>
      </c>
      <c r="C46" s="22">
        <f>LARGE('Top 50 Fast-Food EUA'!B:B,' Análise-Analysis '!A46)</f>
        <v>777</v>
      </c>
      <c r="D46" s="31"/>
      <c r="E46" s="21">
        <v>44</v>
      </c>
      <c r="F46" s="21" t="str">
        <f>INDEX('Top 50 Fast-Food EUA'!A:C,MATCH(' Análise-Analysis '!G46,'Top 50 Fast-Food EUA'!C:C,0),1)</f>
        <v>Marcoâ€™s Pizza</v>
      </c>
      <c r="G46" s="22">
        <f>LARGE('Top 50 Fast-Food EUA'!C:C,' Análise-Analysis '!E46)</f>
        <v>934</v>
      </c>
      <c r="I46" s="21">
        <v>44</v>
      </c>
      <c r="J46" s="21" t="str">
        <f>INDEX('Top 50 Fast-Food EUA'!A:G,MATCH(' Análise-Analysis '!K46,'Top 50 Fast-Food EUA'!G:G,0),1)</f>
        <v>Dairy Queen</v>
      </c>
      <c r="K46" s="22">
        <f>LARGE('Top 50 Fast-Food EUA'!G:G,' Análise-Analysis '!I46)</f>
        <v>-22</v>
      </c>
      <c r="M46" s="41"/>
      <c r="N46" s="41"/>
      <c r="O46" s="42"/>
    </row>
    <row r="47" spans="1:15">
      <c r="A47" s="21">
        <v>45</v>
      </c>
      <c r="B47" s="21" t="str">
        <f>INDEX('Top 50 Fast-Food EUA'!A:B,MATCH(' Análise-Analysis '!C47,'Top 50 Fast-Food EUA'!B:B,0),1)</f>
        <v>Churchâ€™s Chicken</v>
      </c>
      <c r="C47" s="22">
        <f>LARGE('Top 50 Fast-Food EUA'!B:B,' Análise-Analysis '!A47)</f>
        <v>776</v>
      </c>
      <c r="D47" s="31"/>
      <c r="E47" s="21">
        <v>45</v>
      </c>
      <c r="F47" s="21" t="str">
        <f>INDEX('Top 50 Fast-Food EUA'!A:C,MATCH(' Análise-Analysis '!G47,'Top 50 Fast-Food EUA'!C:C,0),1)</f>
        <v>Firehouse Subs</v>
      </c>
      <c r="G47" s="22">
        <f>LARGE('Top 50 Fast-Food EUA'!C:C,' Análise-Analysis '!E47)</f>
        <v>909</v>
      </c>
      <c r="I47" s="21">
        <v>45</v>
      </c>
      <c r="J47" s="21" t="str">
        <f>INDEX('Top 50 Fast-Food EUA'!A:G,MATCH(' Análise-Analysis '!K47,'Top 50 Fast-Food EUA'!G:G,0),1)</f>
        <v>Jack in the Box</v>
      </c>
      <c r="K47" s="22">
        <f>LARGE('Top 50 Fast-Food EUA'!G:G,' Análise-Analysis '!I47)</f>
        <v>-23</v>
      </c>
      <c r="M47" s="41"/>
      <c r="N47" s="41"/>
      <c r="O47" s="42"/>
    </row>
    <row r="48" spans="1:15">
      <c r="A48" s="21">
        <v>46</v>
      </c>
      <c r="B48" s="21" t="str">
        <f>INDEX('Top 50 Fast-Food EUA'!A:B,MATCH(' Análise-Analysis '!C48,'Top 50 Fast-Food EUA'!B:B,0),1)</f>
        <v>Freddyâ€™s Frozen Custard &amp; Steakburgers</v>
      </c>
      <c r="C48" s="22">
        <f>LARGE('Top 50 Fast-Food EUA'!B:B,' Análise-Analysis '!A48)</f>
        <v>759</v>
      </c>
      <c r="D48" s="31"/>
      <c r="E48" s="21">
        <v>46</v>
      </c>
      <c r="F48" s="21" t="str">
        <f>INDEX('Top 50 Fast-Food EUA'!A:C,MATCH(' Análise-Analysis '!G48,'Top 50 Fast-Food EUA'!C:C,0),1)</f>
        <v>Churchâ€™s Chicken</v>
      </c>
      <c r="G48" s="22">
        <f>LARGE('Top 50 Fast-Food EUA'!C:C,' Análise-Analysis '!E48)</f>
        <v>870</v>
      </c>
      <c r="I48" s="21">
        <v>46</v>
      </c>
      <c r="J48" s="21" t="str">
        <f>INDEX('Top 50 Fast-Food EUA'!A:G,MATCH(' Análise-Analysis '!K48,'Top 50 Fast-Food EUA'!G:G,0),1)</f>
        <v>Panera Bread</v>
      </c>
      <c r="K48" s="22">
        <f>LARGE('Top 50 Fast-Food EUA'!G:G,' Análise-Analysis '!I48)</f>
        <v>-25</v>
      </c>
      <c r="M48" s="41"/>
      <c r="N48" s="41"/>
      <c r="O48" s="42"/>
    </row>
    <row r="49" spans="1:15">
      <c r="A49" s="21">
        <v>47</v>
      </c>
      <c r="B49" s="21" t="str">
        <f>INDEX('Top 50 Fast-Food EUA'!A:B,MATCH(' Análise-Analysis '!C49,'Top 50 Fast-Food EUA'!B:B,0),1)</f>
        <v>Tim Hortons</v>
      </c>
      <c r="C49" s="22">
        <f>LARGE('Top 50 Fast-Food EUA'!B:B,' Análise-Analysis '!A49)</f>
        <v>687</v>
      </c>
      <c r="D49" s="31"/>
      <c r="E49" s="21">
        <v>47</v>
      </c>
      <c r="F49" s="21" t="str">
        <f>INDEX('Top 50 Fast-Food EUA'!A:C,MATCH(' Análise-Analysis '!G49,'Top 50 Fast-Food EUA'!C:C,0),1)</f>
        <v>Jimmy Johnâ€™s</v>
      </c>
      <c r="G49" s="22">
        <f>LARGE('Top 50 Fast-Food EUA'!C:C,' Análise-Analysis '!E49)</f>
        <v>866</v>
      </c>
      <c r="I49" s="21">
        <v>47</v>
      </c>
      <c r="J49" s="21" t="str">
        <f>INDEX('Top 50 Fast-Food EUA'!A:G,MATCH(' Análise-Analysis '!K49,'Top 50 Fast-Food EUA'!G:G,0),1)</f>
        <v>Little Caesars</v>
      </c>
      <c r="K49" s="22">
        <f>LARGE('Top 50 Fast-Food EUA'!G:G,' Análise-Analysis '!I49)</f>
        <v>-28</v>
      </c>
      <c r="M49" s="41"/>
      <c r="N49" s="41"/>
      <c r="O49" s="42"/>
    </row>
    <row r="50" spans="1:15">
      <c r="A50" s="21">
        <v>48</v>
      </c>
      <c r="B50" s="21" t="str">
        <f>INDEX('Top 50 Fast-Food EUA'!A:B,MATCH(' Análise-Analysis '!C50,'Top 50 Fast-Food EUA'!B:B,0),1)</f>
        <v>Baskin-Robbins</v>
      </c>
      <c r="C50" s="22">
        <f>LARGE('Top 50 Fast-Food EUA'!B:B,' Análise-Analysis '!A50)</f>
        <v>686</v>
      </c>
      <c r="D50" s="31"/>
      <c r="E50" s="21">
        <v>48</v>
      </c>
      <c r="F50" s="21" t="str">
        <f>INDEX('Top 50 Fast-Food EUA'!A:C,MATCH(' Análise-Analysis '!G50,'Top 50 Fast-Food EUA'!C:C,0),1)</f>
        <v>Papa Murphyâ€™s</v>
      </c>
      <c r="G50" s="22">
        <f>LARGE('Top 50 Fast-Food EUA'!C:C,' Análise-Analysis '!E50)</f>
        <v>643</v>
      </c>
      <c r="I50" s="21">
        <v>48</v>
      </c>
      <c r="J50" s="21" t="str">
        <f>INDEX('Top 50 Fast-Food EUA'!A:G,MATCH(' Análise-Analysis '!K50,'Top 50 Fast-Food EUA'!G:G,0),1)</f>
        <v>Hardeeâ€™s</v>
      </c>
      <c r="K50" s="22">
        <f>LARGE('Top 50 Fast-Food EUA'!G:G,' Análise-Analysis '!I50)</f>
        <v>-32</v>
      </c>
      <c r="M50" s="41"/>
      <c r="N50" s="41"/>
      <c r="O50" s="42"/>
    </row>
    <row r="51" spans="1:15">
      <c r="A51" s="27">
        <v>49</v>
      </c>
      <c r="B51" s="27" t="str">
        <f>INDEX('Top 50 Fast-Food EUA'!A:B,MATCH(' Análise-Analysis '!C51,'Top 50 Fast-Food EUA'!B:B,0),1)</f>
        <v>Moeâ€™s Southwest Grill</v>
      </c>
      <c r="C51" s="28">
        <f>LARGE('Top 50 Fast-Food EUA'!B:B,' Análise-Analysis '!A51)</f>
        <v>661</v>
      </c>
      <c r="D51" s="32"/>
      <c r="E51" s="21">
        <v>49</v>
      </c>
      <c r="F51" s="21" t="str">
        <f>INDEX('Top 50 Fast-Food EUA'!A:C,MATCH(' Análise-Analysis '!G51,'Top 50 Fast-Food EUA'!C:C,0),1)</f>
        <v>Subway</v>
      </c>
      <c r="G51" s="22">
        <f>LARGE('Top 50 Fast-Food EUA'!C:C,' Análise-Analysis '!E51)</f>
        <v>438</v>
      </c>
      <c r="I51" s="21">
        <v>49</v>
      </c>
      <c r="J51" s="21" t="str">
        <f>INDEX('Top 50 Fast-Food EUA'!A:G,MATCH(' Análise-Analysis '!K51,'Top 50 Fast-Food EUA'!G:G,0),1)</f>
        <v>Papa Murphyâ€™s</v>
      </c>
      <c r="K51" s="22">
        <f>LARGE('Top 50 Fast-Food EUA'!G:G,' Análise-Analysis '!I51)</f>
        <v>-53</v>
      </c>
      <c r="M51" s="41"/>
      <c r="N51" s="41"/>
      <c r="O51" s="42"/>
    </row>
    <row r="52" spans="1:15">
      <c r="A52" s="21">
        <v>50</v>
      </c>
      <c r="B52" s="21" t="str">
        <f>INDEX('Top 50 Fast-Food EUA'!A:B,MATCH(' Análise-Analysis '!C52,'Top 50 Fast-Food EUA'!B:B,0),1)</f>
        <v>White Castle</v>
      </c>
      <c r="C52" s="22">
        <f>LARGE('Top 50 Fast-Food EUA'!B:B,' Análise-Analysis '!A52)</f>
        <v>615</v>
      </c>
      <c r="D52" s="31"/>
      <c r="E52" s="21">
        <v>50</v>
      </c>
      <c r="F52" s="21" t="str">
        <f>INDEX('Top 50 Fast-Food EUA'!A:C,MATCH(' Análise-Analysis '!G52,'Top 50 Fast-Food EUA'!C:C,0),1)</f>
        <v>Baskin-Robbins</v>
      </c>
      <c r="G52" s="22">
        <f>LARGE('Top 50 Fast-Food EUA'!C:C,' Análise-Analysis '!E52)</f>
        <v>296</v>
      </c>
      <c r="I52" s="21">
        <v>50</v>
      </c>
      <c r="J52" s="21" t="str">
        <f>INDEX('Top 50 Fast-Food EUA'!A:G,MATCH(' Análise-Analysis '!K52,'Top 50 Fast-Food EUA'!G:G,0),1)</f>
        <v>Subway</v>
      </c>
      <c r="K52" s="22">
        <f>LARGE('Top 50 Fast-Food EUA'!G:G,' Análise-Analysis '!I52)</f>
        <v>-1043</v>
      </c>
      <c r="M52" s="41"/>
      <c r="N52" s="41"/>
      <c r="O52" s="42"/>
    </row>
    <row r="53" spans="1:15">
      <c r="A53" s="24"/>
      <c r="B53" s="25"/>
      <c r="C53" s="26"/>
    </row>
    <row r="54" spans="1:15">
      <c r="A54" s="24"/>
      <c r="B54" s="25"/>
      <c r="C54" s="26"/>
    </row>
  </sheetData>
  <mergeCells count="4">
    <mergeCell ref="A1:C1"/>
    <mergeCell ref="E1:G1"/>
    <mergeCell ref="I1:K1"/>
    <mergeCell ref="M1:O1"/>
  </mergeCells>
  <hyperlinks>
    <hyperlink ref="R2" r:id="rId1" display="Documentação - Documentation" xr:uid="{EEF51E12-154A-42B6-B1C1-19B7540EA5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8524-B021-4569-880B-395BC3C4DE7D}">
  <dimension ref="K1:M7"/>
  <sheetViews>
    <sheetView showGridLines="0" tabSelected="1" workbookViewId="0">
      <selection activeCell="L19" sqref="L19"/>
    </sheetView>
  </sheetViews>
  <sheetFormatPr defaultRowHeight="15"/>
  <cols>
    <col min="12" max="12" width="35" customWidth="1"/>
  </cols>
  <sheetData>
    <row r="1" spans="11:13" ht="43.5">
      <c r="K1" s="29"/>
      <c r="L1" s="48" t="s">
        <v>0</v>
      </c>
      <c r="M1" s="29"/>
    </row>
    <row r="2" spans="11:13">
      <c r="K2" s="29"/>
      <c r="L2" s="49" t="str">
        <f>HYPERLINK("#'Documentação-Documentation'!A1","Documentação-Documentation")</f>
        <v>Documentação-Documentation</v>
      </c>
      <c r="M2" s="29"/>
    </row>
    <row r="3" spans="11:13">
      <c r="K3" s="29"/>
      <c r="L3" s="49" t="str">
        <f>HYPERLINK("#'Top 50 Fast-Food EUA'!A1","Top 50 Fast-Food EUA")</f>
        <v>Top 50 Fast-Food EUA</v>
      </c>
      <c r="M3" s="29"/>
    </row>
    <row r="4" spans="11:13">
      <c r="K4" s="29"/>
      <c r="L4" s="49" t="str">
        <f>HYPERLINK("#'Tabela Dinãmica-Pivot table'!A1","Tabela Dinâmica-Pivot table")</f>
        <v>Tabela Dinâmica-Pivot table</v>
      </c>
      <c r="M4" s="29"/>
    </row>
    <row r="5" spans="11:13">
      <c r="K5" s="29"/>
      <c r="L5" s="49" t="str">
        <f>HYPERLINK("#' Análise-Analysis '!A1"," Análise-Analysis ")</f>
        <v xml:space="preserve"> Análise-Analysis </v>
      </c>
      <c r="M5" s="29"/>
    </row>
    <row r="6" spans="11:13">
      <c r="K6" s="29"/>
      <c r="L6" s="49" t="str">
        <f>HYPERLINK("#'Gráficos-Graphics '!A1","Gráficos-Graphics ")</f>
        <v xml:space="preserve">Gráficos-Graphics </v>
      </c>
      <c r="M6" s="29"/>
    </row>
    <row r="7" spans="11:13">
      <c r="K7" s="29"/>
      <c r="L7" s="29"/>
      <c r="M7" s="29"/>
    </row>
  </sheetData>
  <hyperlinks>
    <hyperlink ref="L2" r:id="rId1" display="Documentação - Documentation" xr:uid="{663180A8-C34B-430A-84BF-7245C5E5D89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2025-11-27T21:46:47Z</dcterms:created>
  <dcterms:modified xsi:type="dcterms:W3CDTF">2025-11-29T22:09:23Z</dcterms:modified>
  <cp:category/>
  <cp:contentStatus/>
</cp:coreProperties>
</file>